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66592e7a0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евірка знахідок" sheetId="1" r:id="R0abf476771e940ec"/>
    <x:sheet xmlns:r="http://schemas.openxmlformats.org/officeDocument/2006/relationships" name="Спірні" sheetId="2" r:id="Re85a8e24880a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447"/>
      <x:name val="Arial"/>
    </x:font>
    <x:font>
      <x:b/>
      <x:sz val="16"/>
      <x:color rgb="FF263F5D"/>
      <x:name val="Arial"/>
    </x:font>
    <x:font>
      <x:b/>
      <x:sz val="11"/>
      <x:color rgb="FFFFFFFF"/>
      <x:name val="Arial"/>
    </x:font>
    <x:font>
      <x:b/>
      <x:sz val="11"/>
      <x:color rgb="FF263F5D"/>
      <x:name val="Arial"/>
    </x:font>
    <x:font>
      <x:b/>
      <x:sz val="11"/>
      <x:color rgb="FF24344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5F9"/>
      </x:patternFill>
    </x:fill>
    <x:fill>
      <x:patternFill patternType="solid">
        <x:fgColor rgb="FF263F5D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2F5F9"/>
      </x:patternFill>
    </x:fill>
    <x:fill>
      <x:patternFill patternType="solid">
        <x:fgColor rgb="FFFFF1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FF1CC"/>
        </x:patternFill>
      </x:fill>
    </x:dxf>
    <x:dxf>
      <x:font>
        <x:b/>
        <x:color rgb="FF9A3324"/>
      </x:font>
      <x:fill>
        <x:patternFill>
          <x:bgColor rgb="FFFCE8E6"/>
        </x:patternFill>
      </x:fill>
    </x:dxf>
    <x:dxf>
      <x:fill>
        <x:patternFill patternType="solid">
          <x:bgColor rgb="FFFFF1CC"/>
        </x:patternFill>
      </x:fill>
    </x:dxf>
    <x:dxf>
      <x:font>
        <x:b/>
        <x:color rgb="FF9A33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efdcc82704d5c" /><Relationship Type="http://schemas.openxmlformats.org/officeDocument/2006/relationships/theme" Target="/xl/theme/theme1.xml" Id="Re19a25b958a143f4" /><Relationship Type="http://schemas.openxmlformats.org/officeDocument/2006/relationships/sharedStrings" Target="/xl/sharedStrings.xml" Id="Rdf09d0bf7f5045bd" /><Relationship Type="http://schemas.openxmlformats.org/officeDocument/2006/relationships/worksheet" Target="/xl/worksheets/sheet1.xml" Id="R0abf476771e940ec" /><Relationship Type="http://schemas.openxmlformats.org/officeDocument/2006/relationships/worksheet" Target="/xl/worksheets/sheet2.xml" Id="Re85a8e24880a42f2" /></Relationships>
</file>

<file path=xl/tables/table1.xml><?xml version="1.0" encoding="utf-8"?>
<x:table xmlns:x="http://schemas.openxmlformats.org/spreadsheetml/2006/main" id="1" name="AOPetrenkoFindings" displayName="AOPetrenkoFindings" ref="A6:I35" headerRowCount="1" totalsRowCount="0" totalsRowShown="0">
  <x:tableColumns count="9">
    <x:tableColumn id="1" name="ID АО"/>
    <x:tableColumn id="2" name="Вимоги / об’єкт"/>
    <x:tableColumn id="3" name="Джерело до аркуша й рядка"/>
    <x:tableColumn id="4" name="Головний критерій"/>
    <x:tableColumn id="5" name="Аргумент на користь знахідки"/>
    <x:tableColumn id="6" name="Заперечення / ризик виправлення"/>
    <x:tableColumn id="7" name="Рекомендована дія / редакція"/>
    <x:tableColumn id="8" name="Висновок АО"/>
    <x:tableColumn id="9" name="Що потрібно для погодженн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OPetrenkoDisputes" displayName="AOPetrenkoDisputes" ref="A6:H26" headerRowCount="1" totalsRowCount="0" totalsRowShown="0">
  <x:tableColumns count="8">
    <x:tableColumn id="1" name="ID АО"/>
    <x:tableColumn id="2" name="Вимога / питання"/>
    <x:tableColumn id="3" name="Локальні посилання джерел"/>
    <x:tableColumn id="4" name="Аргумент за визнання дефекту"/>
    <x:tableColumn id="5" name="Аргумент проти / ризик правки"/>
    <x:tableColumn id="6" name="Позиція АО та запропонована дія"/>
    <x:tableColumn id="7" name="Рішення КТ / замовника"/>
    <x:tableColumn id="8" name="Потрібне рішення / дан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1b3667de124b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79621f6b4a4936" /></Relationships>
</file>

<file path=xl/worksheets/sheet1.xml><?xml version="1.0" encoding="utf-8"?>
<x:worksheet xmlns:x="http://schemas.openxmlformats.org/spreadsheetml/2006/main">
  <x:sheetPr>
    <x:tabColor rgb="FF263F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109999656677246" hidden="0" customWidth="1"/>
    <x:col min="2" max="2" width="28.329999923706055" hidden="0" customWidth="1"/>
    <x:col min="3" max="3" width="50.560001373291016" hidden="0" customWidth="1"/>
    <x:col min="4" max="4" width="20.559999465942383" hidden="0" customWidth="1"/>
    <x:col min="5" max="5" width="56.66999816894531" hidden="0" customWidth="1"/>
    <x:col min="6" max="6" width="56.66999816894531" hidden="0" customWidth="1"/>
    <x:col min="7" max="7" width="63.33000183105469" hidden="0" customWidth="1"/>
    <x:col min="8" max="8" width="29.440000534057617" hidden="0" customWidth="1"/>
    <x:col min="9" max="9" width="47.779998779296875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Висновки аудитора-опонента за зведеним реєстром</x:v>
      </x:c>
      <x:c r="B2" s="2"/>
      <x:c r="C2" s="2"/>
      <x:c r="D2" s="2"/>
      <x:c r="E2" s="2"/>
      <x:c r="F2" s="2"/>
      <x:c r="G2" s="2"/>
      <x:c r="H2" s="2"/>
      <x:c r="I2" s="2"/>
    </x:row>
    <x:row r="3" ht="18" customHeight="1">
      <x:c r="A3" s="2" t="str">
        <x:v>Петренко Валентин. ШопЛайн. Спринт 2. 18.10.2026. Перевірено ED-01…ED-29; висновки АО для погодження.</x:v>
      </x:c>
      <x:c r="B3" s="2"/>
      <x:c r="C3" s="2"/>
      <x:c r="D3" s="2"/>
      <x:c r="E3" s="2"/>
      <x:c r="F3" s="2"/>
      <x:c r="G3" s="2"/>
      <x:c r="H3" s="2"/>
      <x:c r="I3" s="2"/>
    </x:row>
    <x:row r="4" ht="18" customHeight="1">
      <x:c r="A4" s="2" t="str">
        <x:v>Джерела: requirements-defects (1).xlsx (Черватюк), аркуш «Реєстр дефектів», рядки 5–33; SRS 1.0; методичка, §§4.1–4.7 і 5.2.</x:v>
      </x:c>
      <x:c r="B4" s="2"/>
      <x:c r="C4" s="2"/>
      <x:c r="D4" s="2"/>
      <x:c r="E4" s="2"/>
      <x:c r="F4" s="2"/>
      <x:c r="G4" s="2"/>
      <x:c r="H4" s="2"/>
      <x:c r="I4" s="2"/>
    </x:row>
    <x:row r="5" ht="18" customHeight="1">
      <x:c r="A5" s="2" t="str">
        <x:v>ED — номер спільного реєстру; AO — збережений ID попереднього аналізу. Усі 29 вихідних статусів — «Запропоновано»; висновок АО не є затвердженням КТ.</x:v>
      </x:c>
      <x:c r="B5" s="2"/>
      <x:c r="C5" s="2"/>
      <x:c r="D5" s="2"/>
      <x:c r="E5" s="2"/>
      <x:c r="F5" s="2"/>
      <x:c r="G5" s="2"/>
      <x:c r="H5" s="2"/>
      <x:c r="I5" s="2"/>
    </x:row>
    <x:row r="6" ht="31.5" customHeight="1">
      <x:c r="A6" s="11" t="str">
        <x:v>ED / ID АО</x:v>
      </x:c>
      <x:c r="B6" s="11" t="str">
        <x:v>Вимоги / об’єкт</x:v>
      </x:c>
      <x:c r="C6" s="11" t="str">
        <x:v>Джерело: реєстр, рядок і локальні ID</x:v>
      </x:c>
      <x:c r="D6" s="11" t="str">
        <x:v>Головний критерій</x:v>
      </x:c>
      <x:c r="E6" s="11" t="str">
        <x:v>Аргумент на користь знахідки</x:v>
      </x:c>
      <x:c r="F6" s="11" t="str">
        <x:v>Заперечення / ризик виправлення</x:v>
      </x:c>
      <x:c r="G6" s="11" t="str">
        <x:v>Рекомендована дія / редакція</x:v>
      </x:c>
      <x:c r="H6" s="11" t="str">
        <x:v>Висновок АО</x:v>
      </x:c>
      <x:c r="I6" s="11" t="str">
        <x:v>Що потрібно для погодження</x:v>
      </x:c>
    </x:row>
    <x:row r="7" ht="85.5" customHeight="1">
      <x:c r="A7" s="21" t="str">
        <x:v>ED-01
AO-01</x:v>
      </x:c>
      <x:c r="B7" s="21" t="str">
        <x:v>F-10</x:v>
      </x:c>
      <x:c r="C7" s="18" t="str">
        <x:v>requirements-defects (1).xlsx / Реєстр дефектів!A5:H5; локальні ID: №1; автори за реєстром: Черватюк</x:v>
      </x:c>
      <x:c r="D7" s="18" t="str">
        <x:v>Повнота</x:v>
      </x:c>
      <x:c r="E7" s="18" t="str">
        <x:v>SRS перелічує поля реєстрації, але не задає формати частини даних. За §4.3, пп.4–5, це підстава уточнити відповідні допустимі входи й помилки.</x:v>
      </x:c>
      <x:c r="F7" s="18" t="str">
        <x:v>У F-10 вже задані пароль, перелік полів і позначення обов'язкових полів; GUI-50 задає загальне блокування форми. Вік ≥18, 9–15 цифр телефону та закритий перелік спецсимволів є новими бізнес-обмеженнями. Запис name@domain — приклад, а не повний контракт email.</x:v>
      </x:c>
      <x:c r="G7" s="18" t="str">
        <x:v>Уточнити відсутні формати й реакції, не оголошуючи всю форму неперевірюваною. Формат дати відокремити від віку. Віковий поріг, телефон, алфавіт пароля й політику дубліката email погодити окремо. Не додавати непогоджене правило 18+ як обов'язковий наслідок дефекту.</x:v>
      </x:c>
      <x:c r="H7" s="18" t="str">
        <x:v>Підтримати з уточненням</x:v>
      </x:c>
      <x:c r="I7" s="18" t="str">
        <x:v>Замовник погоджує нові обмеження; частину загальних помилок уже покриває GUI-50.</x:v>
      </x:c>
    </x:row>
    <x:row r="8" ht="60" customHeight="1">
      <x:c r="A8" s="22" t="str">
        <x:v>ED-02
AO-02</x:v>
      </x:c>
      <x:c r="B8" s="22" t="str">
        <x:v>F-20</x:v>
      </x:c>
      <x:c r="C8" s="20" t="str">
        <x:v>requirements-defects (1).xlsx / Реєстр дефектів!A6:H6; локальні ID: №2; автори за реєстром: Черватюк</x:v>
      </x:c>
      <x:c r="D8" s="20" t="str">
        <x:v>Однозначність</x:v>
      </x:c>
      <x:c r="E8" s="20" t="str">
        <x:v>«На відповідну сторінку» не визначає результат перенаправлення. Порушено §4.2, пп.2,4.</x:v>
      </x:c>
      <x:c r="F8" s="20" t="str">
        <x:v>Дві цільові сторінки є запропонованим контрактом. Цей реєстр не містить доказу актуальної поведінки demo, а спостереження поточного UI не замінює погодження вимоги.</x:v>
      </x:c>
      <x:c r="G8" s="20" t="str">
        <x:v>У F-20 явно задати два випадки: звичайний вхід → My account; вхід у checkout → Billing Address, якщо замовник погодить саме їх. Зберегти існуючу реакцію на неправильні дані. Указати це як пропозицію до погодження.</x:v>
      </x:c>
      <x:c r="H8" s="20" t="str">
        <x:v>Підтримати з уточненням</x:v>
      </x:c>
      <x:c r="I8" s="20" t="str">
        <x:v>КТ/замовник погоджує цільові сторінки; поведінка входу в цьому проході не запускалася.</x:v>
      </x:c>
    </x:row>
    <x:row r="9" ht="72" customHeight="1">
      <x:c r="A9" s="21" t="str">
        <x:v>ED-03
AO-03</x:v>
      </x:c>
      <x:c r="B9" s="21" t="str">
        <x:v>F-30</x:v>
      </x:c>
      <x:c r="C9" s="18" t="str">
        <x:v>requirements-defects (1).xlsx / Реєстр дефектів!A7:H7; локальні ID: №3; автори за реєстром: Черватюк</x:v>
      </x:c>
      <x:c r="D9" s="18" t="str">
        <x:v>Здійсненність</x:v>
      </x:c>
      <x:c r="E9" s="18" t="str">
        <x:v>Гарантія доставки листа за 1 с незалежно від провайдера виходить за контроль продукту. Головний критерій — §4.6.</x:v>
      </x:c>
      <x:c r="F9" s="18" t="str">
        <x:v>Запропоновані 5 с не є вимірюванням. Повідомлення «лист надіслано» має відповідати успішній передачі, а не лише натисканню кнопки.</x:v>
      </x:c>
      <x:c r="G9" s="18" t="str">
        <x:v>Залишити обмеження на власну дію системи: передати запит погодженому поштовому сервісу за визначених умов. Поріг 5 с, початок/кінець вимірювання й реакцію на відмову сервісу погодити. Час доставки стороннім провайдером не гарантувати.</x:v>
      </x:c>
      <x:c r="H9" s="18" t="str">
        <x:v>Підтримати з уточненням</x:v>
      </x:c>
      <x:c r="I9" s="18" t="str">
        <x:v>Погодження порога, меж вимірювання та обробки помилки сервісу.</x:v>
      </x:c>
    </x:row>
    <x:row r="10" ht="72" customHeight="1">
      <x:c r="A10" s="22" t="str">
        <x:v>ED-04
AO-04</x:v>
      </x:c>
      <x:c r="B10" s="22" t="str">
        <x:v>GUI-20 / F-40</x:v>
      </x:c>
      <x:c r="C10" s="20" t="str">
        <x:v>requirements-defects (1).xlsx / Реєстр дефектів!A8:H8; локальні ID: №4 / SD-01 / VP-01; автори за реєстром: Черватюк, Сидоров, Петренко</x:v>
      </x:c>
      <x:c r="D10" s="20" t="str">
        <x:v>Несуперечливість</x:v>
      </x:c>
      <x:c r="E10" s="20" t="str">
        <x:v>9 карток у F-40 і 12 у GUI-20 є прямою суперечністю за §4.4, п.2.</x:v>
      </x:c>
      <x:c r="F10" s="20" t="str">
        <x:v>У виправленні написано «три колонки по 9», що читається як 27 карток і створює нову помилку. Посилання на легенду/demo не підтверджує вибір 9: легенду не надано, поточний UI не перевірено. Збіг авторів не є затвердженням числа.</x:v>
      </x:c>
      <x:c r="G10" s="20" t="str">
        <x:v>Після погодження 9 записати: «На повній сторінці каталогу відображаються 9 карток загалом, у сітці з трьох колонок; на останній сторінці може бути менше». Зберегти склад картки й Out of stock. Якщо обрано 12 — узгоджено змінити F-40. Усі три локальні знахідки залишити одним ED-04.</x:v>
      </x:c>
      <x:c r="H10" s="20" t="str">
        <x:v>Підтримати з уточненням</x:v>
      </x:c>
      <x:c r="I10" s="20" t="str">
        <x:v>Погодити 9 або 12. Авторство першого індивідуального аудиту тепер указано в реєстрі як Черватюк.</x:v>
      </x:c>
    </x:row>
    <x:row r="11" ht="72" customHeight="1">
      <x:c r="A11" s="21" t="str">
        <x:v>ED-05
AO-05</x:v>
      </x:c>
      <x:c r="B11" s="21" t="str">
        <x:v>F-60</x:v>
      </x:c>
      <x:c r="C11" s="18" t="str">
        <x:v>requirements-defects (1).xlsx / Реєстр дефектів!A9:H9; локальні ID: №5; автори за реєстром: Черватюк</x:v>
      </x:c>
      <x:c r="D11" s="18" t="str">
        <x:v>Однозначність</x:v>
      </x:c>
      <x:c r="E11" s="18" t="str">
        <x:v>Слово «схожі» не визначає правило зіставлення назви із запитом. §4.2, пп.2,4 застосовано обґрунтовано.</x:v>
      </x:c>
      <x:c r="F11" s="18" t="str">
        <x:v>Пошук підрядка без урахування регістру є одним із варіантів бізнес-поведінки, а не наслідком самого слова «схожі».</x:v>
      </x:c>
      <x:c r="G11" s="18" t="str">
        <x:v>Зберегти решту F-60. Погодити правило пошуку: назва містить введений запит без урахування регістру. Окремо, за потреби, задати обробку пробілів і порожнього запиту; не видавати запропонований алгоритм за перевірений на demo.</x:v>
      </x:c>
      <x:c r="H11" s="18" t="str">
        <x:v>Підтримати з уточненням</x:v>
      </x:c>
      <x:c r="I11" s="18" t="str">
        <x:v>Погоджене правило зіставлення; це вже позначено як пропозицію у джерелі.</x:v>
      </x:c>
    </x:row>
    <x:row r="12" ht="85.5" customHeight="1">
      <x:c r="A12" s="22" t="str">
        <x:v>ED-06
AO-06</x:v>
      </x:c>
      <x:c r="B12" s="22" t="str">
        <x:v>F-90</x:v>
      </x:c>
      <x:c r="C12" s="20" t="str">
        <x:v>requirements-defects (1).xlsx / Реєстр дефектів!A10:H10; локальні ID: №6; автори за реєстром: Черватюк</x:v>
      </x:c>
      <x:c r="D12" s="20" t="str">
        <x:v>Тестопридатність</x:v>
      </x:c>
      <x:c r="E12" s="20" t="str">
        <x:v>«Миттєво і без помилок» не задає скінченного однозначного критерію успіху. Підтримати §4.7.</x:v>
      </x:c>
      <x:c r="F12" s="20" t="str">
        <x:v>Проста заміна «миттєво» на 2 с без умов мережі й початку/кінця вимірювання може залишити невідтворювану гарантію. Правило 99 треба узгодити з поточним UI та майбутньою інтеграцією BL.</x:v>
      </x:c>
      <x:c r="G12" s="20" t="str">
        <x:v>Описати спостережуваний результат: товар додається один раз, повторний SKU збільшує кількість, при перевищенні погодженої межі кошик не змінюється. Для порога 2 с визначити контрольну мережу, стенд і інтервал від дії до підтвердженого оновлення UI. Позначити їх як пропозицію до погодження.</x:v>
      </x:c>
      <x:c r="H12" s="20" t="str">
        <x:v>Підтримати з уточненням</x:v>
      </x:c>
      <x:c r="I12" s="20" t="str">
        <x:v>Погодження умов часу та розмежування поточного demo/майбутньої інтеграції.</x:v>
      </x:c>
    </x:row>
    <x:row r="13" ht="72" customHeight="1">
      <x:c r="A13" s="21" t="str">
        <x:v>ED-07
AO-07</x:v>
      </x:c>
      <x:c r="B13" s="21" t="str">
        <x:v>F-100</x:v>
      </x:c>
      <x:c r="C13" s="18" t="str">
        <x:v>requirements-defects (1).xlsx / Реєстр дефектів!A11:H11; локальні ID: №7; автори за реєстром: Черватюк</x:v>
      </x:c>
      <x:c r="D13" s="18" t="str">
        <x:v>Повнота</x:v>
      </x:c>
      <x:c r="E13" s="18" t="str">
        <x:v>BL-25 у наданій SRS відсутня. Дефект полягає в неіснуючому об'єкті посилання; §4.3, п.3 застосовано за змістом перевірки посилань.</x:v>
      </x:c>
      <x:c r="F13" s="18" t="str">
        <x:v>Фраза «межі кількості не визначені» надмірна: 1–99 уже встановлено BL-10, BL-20 і BL-40. За ту саму зламану прив'язку не слід створювати другий рядок лише через іншу назву критерію.</x:v>
      </x:c>
      <x:c r="G13" s="18" t="str">
        <x:v>Замінити фрагмент на «Обмеження на кількість одиниць у рядку (від 1 до 99 включно) визначає BL-40». Якщо описано повторне додавання, додатково послатися на BL-20. Зберегти один рядок дефекту з головним критерієм і точним поясненням.</x:v>
      </x:c>
      <x:c r="H13" s="18" t="str">
        <x:v>Підтримати з уточненням</x:v>
      </x:c>
      <x:c r="I13" s="18" t="str">
        <x:v>Правка посилання не потребує вигадування нової вимоги BL-25.</x:v>
      </x:c>
    </x:row>
    <x:row r="14" ht="60" customHeight="1">
      <x:c r="A14" s="22" t="str">
        <x:v>ED-08
AO-08</x:v>
      </x:c>
      <x:c r="B14" s="22" t="str">
        <x:v>F-110 / BL-60</x:v>
      </x:c>
      <x:c r="C14" s="20" t="str">
        <x:v>requirements-defects (1).xlsx / Реєстр дефектів!A12:H12; локальні ID: №8 / VP-10; автори за реєстром: Черватюк, Петренко</x:v>
      </x:c>
      <x:c r="D14" s="20" t="str">
        <x:v>Несуперечливість</x:v>
      </x:c>
      <x:c r="E14" s="20" t="str">
        <x:v>2000 грн у F-110 і 1500 грн у BL-60 дають різні результати для замовлення 1600 грн без знижок. §4.4, п.2 підтверджено текстом.</x:v>
      </x:c>
      <x:c r="F14" s="20" t="str">
        <x:v>1500 і 2000 є справжнім конфліктом, але вибір 1500 ще має статус «Запропоновано». Цей рядок про поріг не вирішує окремого питання бази доставки ED-15.</x:v>
      </x:c>
      <x:c r="G14" s="20" t="str">
        <x:v>Погодити один поріг; у F-110 лишити посилання на BL-60 без незалежного дублювання числа. За вибору 1500 уточнити включність межі. Базу та порядок знижок затвердити окремо за ED-15.</x:v>
      </x:c>
      <x:c r="H14" s="20" t="str">
        <x:v>Підтримати з уточненням</x:v>
      </x:c>
      <x:c r="I14" s="20" t="str">
        <x:v>Одне рішення про поріг доставки; не прирівнювати «Запропоновано» до «Прийнято».</x:v>
      </x:c>
    </x:row>
    <x:row r="15" ht="85.5" customHeight="1">
      <x:c r="A15" s="21" t="str">
        <x:v>ED-09
AO-09</x:v>
      </x:c>
      <x:c r="B15" s="21" t="str">
        <x:v>F-110</x:v>
      </x:c>
      <x:c r="C15" s="18" t="str">
        <x:v>requirements-defects (1).xlsx / Реєстр дефектів!A13:H13; локальні ID: №9; автори за реєстром: Черватюк</x:v>
      </x:c>
      <x:c r="D15" s="18" t="str">
        <x:v>Несуперечливість</x:v>
      </x:c>
      <x:c r="E15" s="18" t="str">
        <x:v>Потрібно відрізнити поведінку поточного demo від цільових вимог до нової функції. План не повинен обіцяти перевірити ще не інтегровану функцію через наявний UI.</x:v>
      </x:c>
      <x:c r="F15" s="18" t="str">
        <x:v>Вступ SRS і §1.2 охоплюють поточний продукт та нову функцію, а §2.3 прямо відокремлює бібліотеку від UI. Це допускає різні етапи постачання. Номер релізу інтеграції не заданий; редакція документа SRS 1.1 не встановлює реліз продукту 1.1.</x:v>
      </x:c>
      <x:c r="G15" s="18" t="str">
        <x:v>Не зараховувати ED-09 як доведений дефект несуперечливості на цьому обґрунтуванні. Зберегти питання меж: поточні UI-функції перевіряти на demo, BL — на бібліотеці, інтеграцію — після появи відповідної збірки. Фразу «версія 1.1» додавати лише за окремим рішенням про реліз, не за номером редакції SRS.</x:v>
      </x:c>
      <x:c r="H15" s="18" t="str">
        <x:v>Не рахувати як доведений дефект</x:v>
      </x:c>
      <x:c r="I15" s="18" t="str">
        <x:v>Погодити етап інтеграції та критерії поточної демонстрації; не змінювати roadmap від імені аудитора.</x:v>
      </x:c>
    </x:row>
    <x:row r="16" ht="72" customHeight="1">
      <x:c r="A16" s="22" t="str">
        <x:v>ED-10
AO-10</x:v>
      </x:c>
      <x:c r="B16" s="22" t="str">
        <x:v>GUI-40 / F-120</x:v>
      </x:c>
      <x:c r="C16" s="20" t="str">
        <x:v>requirements-defects (1).xlsx / Реєстр дефектів!A14:H14; локальні ID: №10 / SD-03 / VP-03; автори за реєстром: Черватюк, Сидоров, Петренко</x:v>
      </x:c>
      <x:c r="D16" s="20" t="str">
        <x:v>Несуперечливість</x:v>
      </x:c>
      <x:c r="E16" s="20" t="str">
        <x:v>Одна дія гостя має протилежні результати: додавання або відмова. §4.4, п.2 застосовано правильно.</x:v>
      </x:c>
      <x:c r="F16" s="20" t="str">
        <x:v>Збереження авторизованого обраного узгоджується з §2.1, але остаточну бізнес-політику погоджує замовник. Збіги трьох джерел рахуються один раз.</x:v>
      </x:c>
      <x:c r="G16" s="20" t="str">
        <x:v>Рекомендується зберегти GUI-40 і викласти F-120 із вимогою входу, збереженням My favorites і можливості видалення. Якщо потрібне гостьове обране, описати зберігання і перенесення списку та узгоджено змінити GUI-40 і §2.1.</x:v>
      </x:c>
      <x:c r="H16" s="20" t="str">
        <x:v>Підтримати з уточненням</x:v>
      </x:c>
      <x:c r="I16" s="20" t="str">
        <x:v>Єдине рішення про гостьове обране; збереження джерел авторства під час зведення.</x:v>
      </x:c>
    </x:row>
    <x:row r="17" ht="72" customHeight="1">
      <x:c r="A17" s="21" t="str">
        <x:v>ED-11
AO-11</x:v>
      </x:c>
      <x:c r="B17" s="21" t="str">
        <x:v>F-140</x:v>
      </x:c>
      <x:c r="C17" s="18" t="str">
        <x:v>requirements-defects (1).xlsx / Реєстр дефектів!A15:H15; локальні ID: №11; автори за реєстром: Черватюк</x:v>
      </x:c>
      <x:c r="D17" s="18" t="str">
        <x:v>Повнота</x:v>
      </x:c>
      <x:c r="E17" s="18" t="str">
        <x:v>Формат і розмір вкладення та реакція на недопустимий файл не задані. Це конкретний пробіл за §4.3, пп.4–5.</x:v>
      </x:c>
      <x:c r="F17" s="18" t="str">
        <x:v>Відсутність верхньої межі тексту сама собою не доводить дефект: мінімум 50 уже визначений. Межа 250, один .txt і 100 КБ є пропозиціями. КБ/КіБ та перевірка формату не взаємозамінні без визначення.</x:v>
      </x:c>
      <x:c r="G17" s="18" t="str">
        <x:v>Основний дефект прив'язати до невизначеного контракту вкладень і реакції на відхилення. Погодити кількість, формат та розмір у байтах. Якщо обрано 100 КіБ, це 102400 байт; якщо 100 КБ — явно 100000 байт. Верхню межу тексту вводити лише за потребою замовника, зберігши мінімум 50.</x:v>
      </x:c>
      <x:c r="H17" s="18" t="str">
        <x:v>Підтримати з уточненням</x:v>
      </x:c>
      <x:c r="I17" s="18" t="str">
        <x:v>Погодити формат, кількість, розмір вкладення й обмеження довжини, якщо воно потрібне.</x:v>
      </x:c>
    </x:row>
    <x:row r="18" ht="72" customHeight="1">
      <x:c r="A18" s="22" t="str">
        <x:v>ED-12
AO-13</x:v>
      </x:c>
      <x:c r="B18" s="22" t="str">
        <x:v>BL-05 (вступ)</x:v>
      </x:c>
      <x:c r="C18" s="20" t="str">
        <x:v>requirements-defects (1).xlsx / Реєстр дефектів!A16:H16; локальні ID: №17; автори за реєстром: Черватюк</x:v>
      </x:c>
      <x:c r="D18" s="20" t="str">
        <x:v>Простежуваність</x:v>
      </x:c>
      <x:c r="E18" s="20" t="str">
        <x:v>Правило типу грошових сум і округлення є нормативним та використовується в перевірках. За вимогою §4.5, п.2 воно потребує стабільного ідентифікатора.</x:v>
      </x:c>
      <x:c r="F18" s="20" t="str">
        <x:v>Не кожен описовий вступний рядок є окремою вимогою. ID потрібен саме нормативному грошовому правилу. Пріоритет High у пропозиції не заданий вихідним вступом і потребує погодження.</x:v>
      </x:c>
      <x:c r="G18" s="20" t="str">
        <x:v>Присвоїти вільний ID BL-05 правилу «Усі грошові суми подаються BigDecimal у гривнях; грошові результати округлюються до двох знаків HALF_UP». Опис пакета та класів залишити вступним контекстом. Пріоритет погодити, інші ID не зсувати.</x:v>
      </x:c>
      <x:c r="H18" s="20" t="str">
        <x:v>Підтримати з уточненням</x:v>
      </x:c>
      <x:c r="I18" s="20" t="str">
        <x:v>BL-05 вільний у SRS 1.0; погодити новий ID та пріоритет. У полі вимоги джерела «BL-05» — запропонований ID, а дефектний об'єкт — вступ §5 без ID.</x:v>
      </x:c>
    </x:row>
    <x:row r="19" ht="72" customHeight="1">
      <x:c r="A19" s="21" t="str">
        <x:v>ED-13
AO-12</x:v>
      </x:c>
      <x:c r="B19" s="21" t="str">
        <x:v>GUI-30 / BL-10 / BL-20 / BL-40</x:v>
      </x:c>
      <x:c r="C19" s="18" t="str">
        <x:v>requirements-defects (1).xlsx / Реєстр дефектів!A17:H17; локальні ID: №12 / SD-02 / VP-02; автори за реєстром: Черватюк, Сидоров, Петренко</x:v>
      </x:c>
      <x:c r="D19" s="18" t="str">
        <x:v>Несуперечливість</x:v>
      </x:c>
      <x:c r="E19" s="18" t="str">
        <x:v>0–100 у GUI-30 і 1–99 у BL дають несумісні межі. §4.4, п.2 підтверджено.</x:v>
      </x:c>
      <x:c r="F19" s="18" t="str">
        <x:v>Повторення одного №12 у трьох рядках першого аудиту є зв'язками однієї знахідки, а не трьома дефектами. Тексти повідомлень у різних пропозиціях відрізняються.</x:v>
      </x:c>
      <x:c r="G19" s="18" t="str">
        <x:v>Один дефект на узгодження діапазону. Зберегти цілі значення 1–99, початкове 1, захист кнопок і ручного введення, незмінність кошика за помилки та обмеження повторного додавання BL-20. Погодити один текст повідомлення.</x:v>
      </x:c>
      <x:c r="H19" s="18" t="str">
        <x:v>Підтримати з уточненням</x:v>
      </x:c>
      <x:c r="I19" s="18" t="str">
        <x:v>Не дублювати знахідку за кількістю пов'язаних вимог або авторів.</x:v>
      </x:c>
    </x:row>
    <x:row r="20" ht="60" customHeight="1">
      <x:c r="A20" s="22" t="str">
        <x:v>ED-14
AO-14</x:v>
      </x:c>
      <x:c r="B20" s="22" t="str">
        <x:v>BL-20 / BL-30</x:v>
      </x:c>
      <x:c r="C20" s="20" t="str">
        <x:v>requirements-defects (1).xlsx / Реєстр дефектів!A18:H18; локальні ID: №18 / VP-07; автори за реєстром: Черватюк, Петренко</x:v>
      </x:c>
      <x:c r="D20" s="20" t="str">
        <x:v>Простежуваність</x:v>
      </x:c>
      <x:c r="E20" s="20" t="str">
        <x:v>BL-30 повторює частину повнішої BL-20. §4.5, пп.1,5 застосовано обґрунтовано.</x:v>
      </x:c>
      <x:c r="F20" s="20" t="str">
        <x:v>«Дослівно дублює» неточно: BL-20 додатково задає межу 99, виняток і незмінність кошика. Дублюється саме правило повторного SKU. Один дефект не подвоюється через дві вимоги.</x:v>
      </x:c>
      <x:c r="G20" s="20" t="str">
        <x:v>Уточнити опис: «BL-30 повторює правило збільшення кількості з повнішої BL-20». Залишити BL-20 повністю, вилучити BL-30 з журналом змін, не зсувати інші ID та виправити фактичні зовнішні посилання.</x:v>
      </x:c>
      <x:c r="H20" s="20" t="str">
        <x:v>Підтримати з уточненням</x:v>
      </x:c>
      <x:c r="I20" s="20" t="str">
        <x:v>Запис у SRS 1.1 та перевірка реальних зовнішніх посилань.</x:v>
      </x:c>
    </x:row>
    <x:row r="21" ht="85.5" customHeight="1">
      <x:c r="A21" s="21" t="str">
        <x:v>ED-15
AO-15</x:v>
      </x:c>
      <x:c r="B21" s="21" t="str">
        <x:v>BL-60</x:v>
      </x:c>
      <x:c r="C21" s="18" t="str">
        <x:v>requirements-defects (1).xlsx / Реєстр дефектів!A19:H19; локальні ID: №19; автори за реєстром: Черватюк</x:v>
      </x:c>
      <x:c r="D21" s="18" t="str">
        <x:v>Однозначність</x:v>
      </x:c>
      <x:c r="E21" s="18" t="str">
        <x:v>Не визначено, чи база доставки враховує лише знижку за обсяг, чи також промокод. Це окремий від числового порога пробіл за §4.2, п.5.</x:v>
      </x:c>
      <x:c r="F21" s="18" t="str">
        <x:v>Реєстр обирає базу без промокоду, тоді як раніша VP-10 допускає обидві знижки. Обидва правила не можна затвердити разом. План L2 передбачає погодження порядку, тому його не слід оголошувати вже затвердженим варіантом B.</x:v>
      </x:c>
      <x:c r="G21" s="18" t="str">
        <x:v>Обрати: A — subtotalAfterDiscount = subtotal − volumeDiscount; B — subtotalAfterDiscount = subtotal − volumeDiscount − promoDiscount. За запропонованого порога 1500: subtotal 2100, volumeDiscount 105, promoDiscount 600 дають базу 1995 і доставку 0 у A, базу 1395 і доставку 120 у B. Після рішення синхронізувати BL-60, терміни, F-110 і план L2/T05.</x:v>
      </x:c>
      <x:c r="H21" s="18" t="str">
        <x:v>Підтримати з уточненням</x:v>
      </x:c>
      <x:c r="I21" s="18" t="str">
        <x:v>Окремо погодити врахування промокоду та порядок обчислення. Поріг 1500 у прикладі є умовою, а не прийнятим рішенням.</x:v>
      </x:c>
    </x:row>
    <x:row r="22" ht="72" customHeight="1">
      <x:c r="A22" s="22" t="str">
        <x:v>ED-16
AO-16</x:v>
      </x:c>
      <x:c r="B22" s="22" t="str">
        <x:v>BL-70</x:v>
      </x:c>
      <x:c r="C22" s="20" t="str">
        <x:v>requirements-defects (1).xlsx / Реєстр дефектів!A20:H20; локальні ID: №20; автори за реєстром: Черватюк</x:v>
      </x:c>
      <x:c r="D22" s="20" t="str">
        <x:v>Повнота</x:v>
      </x:c>
      <x:c r="E22" s="20" t="str">
        <x:v>Алфавіт може бути потрібним бізнес-обмеженням; автор посилається на US01 із A–Z і 0–9.</x:v>
      </x:c>
      <x:c r="F22" s="20" t="str">
        <x:v>Беклог US01 не наданий. Правило довжини 6–10 саме по собі не доводить, що інші символи заборонені: вони можуть бути дозволені. Тому факт відсутності обмеження не підтверджує необхідність саме ASCII-алфавіту.</x:v>
      </x:c>
      <x:c r="G22" s="20" t="str">
        <x:v>Отримати точний текст US01 і перевірити його статус/версію. Якщо A–Z/0–9 є погодженим правилом, доповнити BL-70 і реакцію на інші символи. До цього залишити як умовну знахідку або питання, не включати до підтвердженого нормативу.</x:v>
      </x:c>
      <x:c r="H22" s="20" t="str">
        <x:v>Умовно: потрібен беклог</x:v>
      </x:c>
      <x:c r="I22" s="20" t="str">
        <x:v>Фрагмент US-01 із версією/статусом або явне рішення замовника про алфавіт. До цього умовна знахідка не прирівнюється до доведеного дефекту.</x:v>
      </x:c>
    </x:row>
    <x:row r="23" ht="72" customHeight="1">
      <x:c r="A23" s="21" t="str">
        <x:v>ED-17
AO-17</x:v>
      </x:c>
      <x:c r="B23" s="21" t="str">
        <x:v>BL-80</x:v>
      </x:c>
      <x:c r="C23" s="18" t="str">
        <x:v>requirements-defects (1).xlsx / Реєстр дефектів!A21:H21; локальні ID: №21 / VP-11; автори за реєстром: Черватюк, Петренко</x:v>
      </x:c>
      <x:c r="D23" s="18" t="str">
        <x:v>Здійсненність</x:v>
      </x:c>
      <x:c r="E23" s="18" t="str">
        <x:v>Перевірка використання коду в усіх сторонніх магазинах не забезпечена реєстром, інтеграціями та правами доступу. §4.6 застосовано обґрунтовано.</x:v>
      </x:c>
      <x:c r="F23" s="18" t="str">
        <x:v>Заміна глобального обліку локальним не визначає момент погашення та поведінку за одночасних замовлень. Розрахунок знижки не слід автоматично прирівнювати до завершеного замовлення.</x:v>
      </x:c>
      <x:c r="G23" s="18" t="str">
        <x:v>Обмежити перевірку локальною ознакою використання в «ШопЛайн», зберегти формулу, BL-70 та відмову для непридатного коду. Окремо погодити, хто й коли фіксує погашення при інтеграції; це не заявляти реалізованим у бібліотеці.</x:v>
      </x:c>
      <x:c r="H23" s="18" t="str">
        <x:v>Підтримати з уточненням</x:v>
      </x:c>
      <x:c r="I23" s="18" t="str">
        <x:v>Погодження локальної області одноразовості та майбутнього життєвого циклу коду.</x:v>
      </x:c>
    </x:row>
    <x:row r="24" ht="72" customHeight="1">
      <x:c r="A24" s="22" t="str">
        <x:v>ED-18
AO-25</x:v>
      </x:c>
      <x:c r="B24" s="22" t="str">
        <x:v>D-10</x:v>
      </x:c>
      <x:c r="C24" s="20" t="str">
        <x:v>requirements-defects (1).xlsx / Реєстр дефектів!A22:H22; локальні ID: №1 / SD-11; автори за реєстром: Якимчук, Сидоров</x:v>
      </x:c>
      <x:c r="D24" s="20" t="str">
        <x:v>Повнота</x:v>
      </x:c>
      <x:c r="E24" s="20" t="str">
        <x:v>D-10 залежить від зовнішнього регламенту, якого немає в отриманому комплекті та в переліку §1.4. Залежність потребує уточнення за §4.3, п.3; відсутність самого документа ще не доведена.</x:v>
      </x:c>
      <x:c r="F24" s="20" t="str">
        <x:v>Новий опис уже обережно каже «відсутній у наданих матеріалах», що точніше за «неіснуючий». З цього не випливає, що джерело слід вилучити або що воно не існує. Рішення про його нормативний статус не надано.</x:v>
      </x:c>
      <x:c r="G24" s="20" t="str">
        <x:v>Уточнити в замовника посилання, версію й статус регламенту. Якщо він існує — додати точну прив'язку в §1.4 та забезпечити доступ. Вилучення залежності D-10 дозволене лише після погодження іншого нормативного джерела правил.</x:v>
      </x:c>
      <x:c r="H24" s="20" t="str">
        <x:v>Умовно: потрібен регламент</x:v>
      </x:c>
      <x:c r="I24" s="20" t="str">
        <x:v>Надати регламент або отримати рішення про його відсутність/незастосовність. Авторів Якимчука й Сидорова наведено за спільним реєстром.</x:v>
      </x:c>
    </x:row>
    <x:row r="25" ht="85.5" customHeight="1">
      <x:c r="A25" s="21" t="str">
        <x:v>ED-19
AO-28</x:v>
      </x:c>
      <x:c r="B25" s="21" t="str">
        <x:v>F-140 (§2.1)</x:v>
      </x:c>
      <x:c r="C25" s="18" t="str">
        <x:v>requirements-defects (1).xlsx / Реєстр дефектів!A23:H23; локальні ID: №2; автори за реєстром: Якимчук</x:v>
      </x:c>
      <x:c r="D25" s="18" t="str">
        <x:v>Повнота</x:v>
      </x:c>
      <x:c r="E25" s="18" t="str">
        <x:v>§2.1 дозволяє гостю контактну форму. F-140 описує підтвердження та My messages лише для зареєстрованого покупця. Якщо форма передбачає відповідь гостю, канал її отримання не визначений: §4.3, п.1–2.</x:v>
      </x:c>
      <x:c r="F25" s="18" t="str">
        <x:v>SRS прямо не гарантує відповідь на кожне звернення та не визначає строк. Отже слід уточнити очікувану послугу, а не вигадувати доставку листа. Зміна через email залежить від сервісу й не тотожна доступу в кабінет.</x:v>
      </x:c>
      <x:c r="G25" s="18" t="str">
        <x:v>Уточнити, чи замовник очікує відповідь гостю. Якщо так: «Для гостя відповідь надсилається на email із контактної форми; для покупця з активним сеансом вона також відображається в My messages». Зберегти підтвердження прийняття. Окремо погодити обробку відмови надсилання; строк відповіді не вводити без рішення.</x:v>
      </x:c>
      <x:c r="H25" s="18" t="str">
        <x:v>Підтримати з уточненням</x:v>
      </x:c>
      <x:c r="I25" s="18" t="str">
        <x:v>Погодити обов'язковість і канал відповіді гостю. Джерело — рядок Якимчука у зведенні; окремий його аудит не надано.</x:v>
      </x:c>
    </x:row>
    <x:row r="26" ht="72" customHeight="1">
      <x:c r="A26" s="22" t="str">
        <x:v>ED-20
AO-21</x:v>
      </x:c>
      <x:c r="B26" s="22" t="str">
        <x:v>P-10</x:v>
      </x:c>
      <x:c r="C26" s="20" t="str">
        <x:v>requirements-defects (1).xlsx / Реєстр дефектів!A24:H24; локальні ID: №3 / SD-07; автори за реєстром: Якимчук, Сидоров</x:v>
      </x:c>
      <x:c r="D26" s="20" t="str">
        <x:v>Здійсненність</x:v>
      </x:c>
      <x:c r="E26" s="20" t="str">
        <x:v>0,1 с на будь-якому пристрої й за будь-якої мережі не забезпечується ресурсами продукту. §4.6 підтверджено.</x:v>
      </x:c>
      <x:c r="F26" s="20" t="str">
        <x:v>2 с і швидкість від 10 Мбіт/с — лише запропоновані умови. Однієї пропускної здатності недостатньо: не задані затримка, пристрій, кеш, обсяг каталогу та подія готовності. Реєстр пропонує 2 с, SD-07 — 3 с; єдиний критерій ще не обрано.</x:v>
      </x:c>
      <x:c r="G26" s="20" t="str">
        <x:v>Погодити один контрольний профіль: браузер/вікно, обладнання, версія збірки, 10 Мбіт/с, затримка, кеш і тестові дані. Визначити початок відліку й готовність каталогу до дій. Обрати 2 або 3 с та кількість повторів/правило приймання. Усі числа до погодження лишаються пропозиціями.</x:v>
      </x:c>
      <x:c r="H26" s="20" t="str">
        <x:v>Підтримати з уточненням</x:v>
      </x:c>
      <x:c r="I26" s="20" t="str">
        <x:v>Одне рішення щодо метрики і порога; вимірювань не проводили.</x:v>
      </x:c>
    </x:row>
    <x:row r="27" ht="85.5" customHeight="1">
      <x:c r="A27" s="21" t="str">
        <x:v>ED-21
AO-22</x:v>
      </x:c>
      <x:c r="B27" s="21" t="str">
        <x:v>S-10</x:v>
      </x:c>
      <x:c r="C27" s="18" t="str">
        <x:v>requirements-defects (1).xlsx / Реєстр дефектів!A25:H25; локальні ID: №4 / SD-08; автори за реєстром: Якимчук, Сидоров</x:v>
      </x:c>
      <x:c r="D27" s="18" t="str">
        <x:v>Тестопридатність</x:v>
      </x:c>
      <x:c r="E27" s="18" t="str">
        <x:v>Абсолютне «не містить вразливостей» і невизначене «надійно захищені» не дають перевірюваних меж. §4.7 застосовано обґрунтовано.</x:v>
      </x:c>
      <x:c r="F27" s="18" t="str">
        <x:v>Парольні хеші не перевіряються звичайним UI або самим фактом входу. Потрібні дозволений доступ до коду/сховища чи окремий доказ від відповідального. Два акаунти покривають лише погоджений сценарій розмежування доступу, а не всі вразливості.</x:v>
      </x:c>
      <x:c r="G27" s="18" t="str">
        <x:v>Розділити погоджений обсяг S-10: HTTPS для передачі, розмежування доступу A/B та зберігання паролів. Для кожного назвати перевірюваний об'єкт, спосіб доказу й очікуваний результат. Відсутність доступу до серверної реалізації позначити залежністю для перевірки хешування. Не стверджувати відсутність усіх вразливостей.</x:v>
      </x:c>
      <x:c r="H27" s="18" t="str">
        <x:v>Підтримати з уточненням</x:v>
      </x:c>
      <x:c r="I27" s="18" t="str">
        <x:v>КТ/замовник погоджує обсяг безпеки. Для хешування потрібен окремий доказ; для доступу — власні профілі й нормативний API-контракт.</x:v>
      </x:c>
    </x:row>
    <x:row r="28" ht="85.5" customHeight="1">
      <x:c r="A28" s="22" t="str">
        <x:v>ED-22
AO-23</x:v>
      </x:c>
      <x:c r="B28" s="22" t="str">
        <x:v>U-10</x:v>
      </x:c>
      <x:c r="C28" s="20" t="str">
        <x:v>requirements-defects (1).xlsx / Реєстр дефектів!A26:H26; локальні ID: №5 / SD-09; автори за реєстром: Якимчук, Сидоров</x:v>
      </x:c>
      <x:c r="D28" s="20" t="str">
        <x:v>Тестопридатність</x:v>
      </x:c>
      <x:c r="E28" s="20" t="str">
        <x:v>Не задано задач, користувачів і критеріїв успіху, а «для всіх» не перевіряється скінченним дослідом. §4.7 підтримано.</x:v>
      </x:c>
      <x:c r="F28" s="20" t="str">
        <x:v>«Не довше ніж за 3–5 хв» лишає два різні граничні результати: завершення за 4 хв може пройти або не пройти. Поняття «помилка», завершення оплати й вихідний досвід учасників також не визначені. План T03 пропонує 5 хв, але це ще не затверджено.</x:v>
      </x:c>
      <x:c r="G28" s="20" t="str">
        <x:v>Погодити одне число, наприклад не більше 5 хв, максимум одну визначену сценарієм помилку й критерій 4 із 5. Указати, що означає «новий», чи готовий акаунт до старту, початок відліку та завершення номером тестового інвойсу. Це критерій заданого сценарію, а не доказ зручності для всіх людей.</x:v>
      </x:c>
      <x:c r="H28" s="20" t="str">
        <x:v>Підтримати з уточненням</x:v>
      </x:c>
      <x:c r="I28" s="20" t="str">
        <x:v>Обрати 3 або 5 хв та визначити протокол. Після рішення синхронізувати U-10 і T03 плану.</x:v>
      </x:c>
    </x:row>
    <x:row r="29" ht="72" customHeight="1">
      <x:c r="A29" s="21" t="str">
        <x:v>ED-23
AO-24</x:v>
      </x:c>
      <x:c r="B29" s="21" t="str">
        <x:v>без ID (375px, розд.6)</x:v>
      </x:c>
      <x:c r="C29" s="18" t="str">
        <x:v>requirements-defects (1).xlsx / Реєстр дефектів!A27:H27; локальні ID: №6 / SD-10; автори за реєстром: Якимчук, Сидоров</x:v>
      </x:c>
      <x:c r="D29" s="18" t="str">
        <x:v>Простежуваність</x:v>
      </x:c>
      <x:c r="E29" s="18" t="str">
        <x:v>Нормативна вимога до ширини 375 px не має ID. §4.5, п.2 підтверджено.</x:v>
      </x:c>
      <x:c r="F29" s="18" t="str">
        <x:v>U-30 — запропонований новий ID, якого ще немає у SRS 1.0. Присвоєння ID не усуває окремого питання області 375 px із ED-24.</x:v>
      </x:c>
      <x:c r="G29" s="18" t="str">
        <x:v>Присвоїти вільний ID U-30 наявному нормативному рядку 375 px, зберігши текст і Medium. Якщо замовник змінить область, відобразити окреме рішення ED-24. Різні порушення й різні правки тут дозволяють два рядки за §4.1 методички.</x:v>
      </x:c>
      <x:c r="H29" s="18" t="str">
        <x:v>Підтримати з уточненням</x:v>
      </x:c>
      <x:c r="I29" s="18" t="str">
        <x:v>ID звірити з майбутньою SRS 1.1; зміна інших номерів не потрібна.</x:v>
      </x:c>
    </x:row>
    <x:row r="30" ht="85.5" customHeight="1">
      <x:c r="A30" s="22" t="str">
        <x:v>ED-24
AO-29</x:v>
      </x:c>
      <x:c r="B30" s="22" t="str">
        <x:v>U-30 (375px) ↔ §2.2</x:v>
      </x:c>
      <x:c r="C30" s="20" t="str">
        <x:v>requirements-defects (1).xlsx / Реєстр дефектів!A28:H28; локальні ID: №7 (перекласифіковано КТ з «Простежуваності» на «Несуперечливість» — по суті це суперечність двох вимог, а не відсутність ID); автори за реєстром: Якимчук</x:v>
      </x:c>
      <x:c r="D30" s="20" t="str">
        <x:v>Несуперечливість</x:v>
      </x:c>
      <x:c r="E30" s="20" t="str">
        <x:v>§2.2 обмежує підтримуване вікно мінімумом 1280×800, а §6 вимагає відображення за 375 px. Потрібна явна область обох правил за §4.4, п.2. Це інша правка, ніж додавання ID в ED-23.</x:v>
      </x:c>
      <x:c r="F30" s="20" t="str">
        <x:v>375 px не означає окремий мобільний застосунок. Просто замінити 1280×800 на «від 375» недостатньо: втрачається висота й змішуються повний функціональний прогін та адаптивність. G28 джерела повідомляє про зміну критерію КТ, але не про прийняття самої правки.</x:v>
      </x:c>
      <x:c r="G30" s="20" t="str">
        <x:v>Узгодити одну область: A — зберегти функціональні перевірки на desktop від 1280×800 і явно додати підтримку адаптивності вебінтерфейсу за ширини 375 px з тими самими браузерами та погодженою висотою; B — лише за рішенням замовника відкласти U-30. Окремий mobile app залишається поза поточним обсягом.</x:v>
      </x:c>
      <x:c r="H30" s="20" t="str">
        <x:v>Підтримати з уточненням</x:v>
      </x:c>
      <x:c r="I30" s="20" t="str">
        <x:v>Потрібне рішення про область, браузери й висоту. За реєстром КТ перекласифікував критерій; рішення щодо виправлення не отримано.</x:v>
      </x:c>
    </x:row>
    <x:row r="31" ht="60" customHeight="1">
      <x:c r="A31" s="21" t="str">
        <x:v>ED-25
AO-18</x:v>
      </x:c>
      <x:c r="B31" s="21" t="str">
        <x:v>GUI-60 (вхід) / GUI-60 (реєстрація)</x:v>
      </x:c>
      <x:c r="C31" s="18" t="str">
        <x:v>requirements-defects (1).xlsx / Реєстр дефектів!A29:H29; локальні ID: SD-04 / VP-04; автори за реєстром: Сидоров, Петренко</x:v>
      </x:c>
      <x:c r="D31" s="18" t="str">
        <x:v>Простежуваність</x:v>
      </x:c>
      <x:c r="E31" s="18" t="str">
        <x:v>Дві різні вимоги мають один ID. §4.5, п.2 порушено прямо.</x:v>
      </x:c>
      <x:c r="F31" s="18" t="str">
        <x:v>Не можна механічно замінити всі входження GUI-60: частина посилань стосується входу, інша — реєстрації.</x:v>
      </x:c>
      <x:c r="G31" s="18" t="str">
        <x:v>Залишити GUI-60 для входу, другій вимозі призначити GUI-65, зберегти текст і решту ID. Кожне зовнішнє посилання перевірити за змістом, зміну зафіксувати в журналі.</x:v>
      </x:c>
      <x:c r="H31" s="18" t="str">
        <x:v>Підтримати з уточненням</x:v>
      </x:c>
      <x:c r="I31" s="18" t="str">
        <x:v>Один рядок дефекту на пару; звірити вільний ID із майбутньою SRS 1.1.</x:v>
      </x:c>
    </x:row>
    <x:row r="32" ht="85.5" customHeight="1">
      <x:c r="A32" s="22" t="str">
        <x:v>ED-26
AO-19</x:v>
      </x:c>
      <x:c r="B32" s="22" t="str">
        <x:v>GUI-80</x:v>
      </x:c>
      <x:c r="C32" s="20" t="str">
        <x:v>requirements-defects (1).xlsx / Реєстр дефектів!A30:H30; локальні ID: SD-05 / VP-05; автори за реєстром: Сидоров, Петренко</x:v>
      </x:c>
      <x:c r="D32" s="20" t="str">
        <x:v>Здійсненність</x:v>
      </x:c>
      <x:c r="E32" s="20" t="str">
        <x:v>8K без стиснення за 50 мс за будь-якої мережі — нездійсненна універсальна гарантія. §4.6 підтверджено.</x:v>
      </x:c>
      <x:c r="F32" s="20" t="str">
        <x:v>Спільна пропозиція звела всі зображення до ≤300 КіБ; це не тотожне ранішій VP-05 (картка 300, сторінка товару 500) чи SD-05 (200/500). Не визначені кеш, кінець завантаження й число вимірювань. Дані не підтверджують, що обрані числа досяжні на поточному demo.</x:v>
      </x:c>
      <x:c r="G32" s="20" t="str">
        <x:v>Погодити одну редакцію для обох об'єктів: ліміт зображення картки й сторінки товару, формат, вікно/браузер, мережа 10 Мбіт/с і RTT 50 мс, кеш, межі вимірювання та вибірка. Якщо погоджено 20 повторів і ≥95%, явно записати ≥19 із 20 не довше 1 с. Ліміти 300/500 або єдині 300 КіБ обирає замовник; не зливати різні пропозиції без рішення.</x:v>
      </x:c>
      <x:c r="H32" s="20" t="str">
        <x:v>Підтримати з уточненням</x:v>
      </x:c>
      <x:c r="I32" s="20" t="str">
        <x:v>Замовник погоджує одну редакцію; кілька аудиторів не створюють кілька дефектів.</x:v>
      </x:c>
    </x:row>
    <x:row r="33" ht="85.5" customHeight="1">
      <x:c r="A33" s="21" t="str">
        <x:v>ED-27
AO-20</x:v>
      </x:c>
      <x:c r="B33" s="21" t="str">
        <x:v>GUI-100</x:v>
      </x:c>
      <x:c r="C33" s="18" t="str">
        <x:v>requirements-defects (1).xlsx / Реєстр дефектів!A31:H31; локальні ID: SD-06 / VP-06; автори за реєстром: Сидоров, Петренко</x:v>
      </x:c>
      <x:c r="D33" s="18" t="str">
        <x:v>Тестопридатність</x:v>
      </x:c>
      <x:c r="E33" s="18" t="str">
        <x:v>«Приємний», «сучасний», «легкий для читання» не мають визначених умов приймання. §4.7 підтверджено.</x:v>
      </x:c>
      <x:c r="F33" s="18" t="str">
        <x:v>16 CSS px, 4,5:1 і масштаб 200% є конкретними запропонованими критеріями читабельності, але не доводять «приємність і сучасність» дизайну. Не задані сторінки й об'єкти перевірки.</x:v>
      </x:c>
      <x:c r="G33" s="18" t="str">
        <x:v>Погодити перелік сторінок та основного тексту, застосовність запропонованого контрасту, масштаб 200% і відсутність обрізання/втрати функцій. Для естетичної частини окремо визначити погоджений зразок або явно звузити вимогу до читабельності. Увесь стандарт доступності виконаним не оголошувати.</x:v>
      </x:c>
      <x:c r="H33" s="18" t="str">
        <x:v>Підтримати з уточненням</x:v>
      </x:c>
      <x:c r="I33" s="18" t="str">
        <x:v>Єдина редакція та підтвердження візуальних критеріїв замовником.</x:v>
      </x:c>
    </x:row>
    <x:row r="34" ht="72" customHeight="1">
      <x:c r="A34" s="22" t="str">
        <x:v>ED-28
AO-26</x:v>
      </x:c>
      <x:c r="B34" s="22" t="str">
        <x:v>BL-50</x:v>
      </x:c>
      <x:c r="C34" s="20" t="str">
        <x:v>requirements-defects (1).xlsx / Реєстр дефектів!A32:H32; локальні ID: VP-08; автори за реєстром: Петренко</x:v>
      </x:c>
      <x:c r="D34" s="20" t="str">
        <x:v>Однозначність</x:v>
      </x:c>
      <x:c r="E34" s="20" t="str">
        <x:v>Пороги «від 2000», «від 5000», «від 10000» не містять явного правила вибору єдиного інтервалу. Неперетинні діапазони усувають ризик різних реалізацій за §4.2, пп.1,4.</x:v>
      </x:c>
      <x:c r="F34" s="20" t="str">
        <x:v>Запис 0–2000 / 2000–5000 / 5000–10000 не визначає включність кінців і знову перетинається на 2000, 5000, 10000. Перелік результатів volumeDiscountPercent уже 0/5/10/15, тому сумування до 30% не є сумісним читанням цього методу.</x:v>
      </x:c>
      <x:c r="G34" s="20" t="str">
        <x:v>Записати явно: 0 ≤ s &lt; 2000 → 0%; 2000 ≤ s &lt; 5000 → 5%; 5000 ≤ s &lt; 10000 → 10%; s ≥ 10000 → 15%. Застосовується рівно один інтервал; для s &lt; 0 зберегти IllegalArgumentException, грошове округлення HALF_UP. Обґрунтування обмежити правилом вибору порога.</x:v>
      </x:c>
      <x:c r="H34" s="20" t="str">
        <x:v>Підтримати з уточненням</x:v>
      </x:c>
      <x:c r="I34" s="20" t="str">
        <x:v>Уточнення аргументу внесено до власного файла; затвердження SRS залишається за командою.</x:v>
      </x:c>
    </x:row>
    <x:row r="35" ht="85.5" customHeight="1">
      <x:c r="A35" s="21" t="str">
        <x:v>ED-29
AO-27</x:v>
      </x:c>
      <x:c r="B35" s="21" t="str">
        <x:v>BL-70</x:v>
      </x:c>
      <x:c r="C35" s="18" t="str">
        <x:v>requirements-defects (1).xlsx / Реєстр дефектів!A33:H33; локальні ID: VP-09; автори за реєстром: Петренко</x:v>
      </x:c>
      <x:c r="D35" s="18" t="str">
        <x:v>Повнота</x:v>
      </x:c>
      <x:c r="E35" s="18" t="str">
        <x:v>Для відсоткового коду не визначено реакцію на від'ємний subtotal, а формула apply дає від'ємну знижку. Реакція на null-аргументи також не задана в SRS. §4.3, пп.4–5 застосовний до цього контракту.</x:v>
      </x:c>
      <x:c r="F35" s="18" t="str">
        <x:v>IllegalArgumentException і перевірка аргументів перед перевіркою придатності коду — запропонований порядок. Загальну політику null міг задавати README, якого немає; не слід вигадувати список аргументів за невідомими типами.</x:v>
      </x:c>
      <x:c r="G35" s="18" t="str">
        <x:v>Уточнити контракт validate/apply: subtotal не від'ємний; перелічити аргументи, для яких null заборонений, тип помилки та пріоритет перевірок. Погодити IllegalArgumentException або точне нормативне посилання на наданий контракт. Зберегти наявні умови коду й виняток для непридатного apply.</x:v>
      </x:c>
      <x:c r="H35" s="18" t="str">
        <x:v>Підтримати з уточненням</x:v>
      </x:c>
      <x:c r="I35" s="18" t="str">
        <x:v>Звірити з контрактом модуля перед остаточним прийняттям; запуск Java-коду не проводився.</x:v>
      </x:c>
    </x:row>
    <x:row r="36" ht="31.5" customHeight="1">
      <x:c r="A36" s="2"/>
      <x:c r="B36" s="2"/>
      <x:c r="C36" s="11" t="str">
        <x:v>Результат зіставлення</x:v>
      </x:c>
      <x:c r="D36" s="11" t="str">
        <x:v>Кількість</x:v>
      </x:c>
      <x:c r="E36" s="2"/>
      <x:c r="F36" s="2"/>
      <x:c r="G36" s="2"/>
      <x:c r="H36" s="2"/>
      <x:c r="I36" s="2"/>
    </x:row>
    <x:row r="37" ht="18" customHeight="1">
      <x:c r="A37" s="2"/>
      <x:c r="B37" s="2"/>
      <x:c r="C37" s="2" t="str">
        <x:v>Розглянуто рядків спільного реєстру</x:v>
      </x:c>
      <x:c r="D37" s="2" t="n">
        <x:f>COUNTA(A7:A35)</x:f>
        <x:v>29</x:v>
      </x:c>
      <x:c r="E37" s="2"/>
      <x:c r="F37" s="2"/>
      <x:c r="G37" s="2"/>
      <x:c r="H37" s="2"/>
      <x:c r="I37" s="2"/>
    </x:row>
    <x:row r="38" ht="18" customHeight="1">
      <x:c r="A38" s="2"/>
      <x:c r="B38" s="2"/>
      <x:c r="C38" s="2" t="str">
        <x:v>Підтримати з уточненням (позиція АО)</x:v>
      </x:c>
      <x:c r="D38" s="2" t="n">
        <x:f>COUNTIFS(H7:H35,"Підтримати з уточненням")</x:f>
        <x:v>26</x:v>
      </x:c>
      <x:c r="E38" s="2"/>
      <x:c r="F38" s="2"/>
      <x:c r="G38" s="2"/>
      <x:c r="H38" s="2"/>
      <x:c r="I38" s="2"/>
    </x:row>
    <x:row r="39" ht="18" customHeight="1">
      <x:c r="A39" s="2"/>
      <x:c r="B39" s="2"/>
      <x:c r="C39" s="2" t="str">
        <x:v>Умовні: потрібне джерело або рішення</x:v>
      </x:c>
      <x:c r="D39" s="2" t="n">
        <x:f>COUNTIFS(H7:H35,"Умовно: потрібен беклог")+COUNTIFS(H7:H35,"Умовно: потрібен регламент")</x:f>
        <x:v>2</x:v>
      </x:c>
      <x:c r="E39" s="2"/>
      <x:c r="F39" s="2"/>
      <x:c r="G39" s="2"/>
      <x:c r="H39" s="2"/>
      <x:c r="I39" s="2"/>
    </x:row>
    <x:row r="40" ht="18" customHeight="1">
      <x:c r="A40" s="2"/>
      <x:c r="B40" s="2"/>
      <x:c r="C40" s="2" t="str">
        <x:v>Не рахувати як доведений дефект</x:v>
      </x:c>
      <x:c r="D40" s="2" t="n">
        <x:f>COUNTIFS(H7:H35,"Не рахувати як доведений дефект")</x:f>
        <x:v>1</x:v>
      </x:c>
      <x:c r="E40" s="2"/>
      <x:c r="F40" s="2"/>
      <x:c r="G40" s="2"/>
      <x:c r="H40" s="2"/>
      <x:c r="I40" s="2"/>
    </x:row>
    <x:row r="41" ht="18" customHeight="1">
      <x:c r="A41" s="2"/>
      <x:c r="B41" s="2"/>
      <x:c r="C41" s="2" t="str">
        <x:v>Питань на аркуші «Спірні»</x:v>
      </x:c>
      <x:c r="D41" s="2" t="n">
        <x:f>COUNTA('Спірні'!A7:A26)</x:f>
        <x:v>20</x:v>
      </x:c>
      <x:c r="E41" s="2"/>
      <x:c r="F41" s="2"/>
      <x:c r="G41" s="2"/>
      <x:c r="H41" s="2"/>
      <x:c r="I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conditionalFormatting sqref="H7:H35">
    <x:cfRule type="containsText" dxfId="2" priority="1" operator="containsText" text="Умовно"/>
    <x:cfRule type="containsText" dxfId="3" priority="2" operator="containsText" text="Не рахувати"/>
  </x:conditionalFormatting>
  <x:pageMargins left="0.7" right="0.7" top="0.75" bottom="0.75" header="0.3" footer="0.3"/>
  <x:tableParts count="1">
    <x:tablePart xmlns:r="http://schemas.openxmlformats.org/officeDocument/2006/relationships" r:id="R421b3667de124b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.5600004196167" hidden="0" customWidth="1"/>
    <x:col min="2" max="2" width="27.780000686645508" hidden="0" customWidth="1"/>
    <x:col min="3" max="3" width="50" hidden="0" customWidth="1"/>
    <x:col min="4" max="4" width="56.66999816894531" hidden="0" customWidth="1"/>
    <x:col min="5" max="5" width="56.66999816894531" hidden="0" customWidth="1"/>
    <x:col min="6" max="6" width="62.220001220703125" hidden="0" customWidth="1"/>
    <x:col min="7" max="7" width="28.889999389648438" hidden="0" customWidth="1"/>
    <x:col min="8" max="8" width="45.560001373291016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Спірні питання та позиція аудитора-опонента</x:v>
      </x:c>
      <x:c r="B2" s="2"/>
      <x:c r="C2" s="2"/>
      <x:c r="D2" s="2"/>
      <x:c r="E2" s="2"/>
      <x:c r="F2" s="2"/>
      <x:c r="G2" s="2"/>
      <x:c r="H2" s="2"/>
    </x:row>
    <x:row r="3" ht="18" customHeight="1">
      <x:c r="A3" s="2" t="str">
        <x:v>Петренко Валентин. 20 питань до КТ/замовника за реєстром Черватюка; рішення щодо виправлень не отримано.</x:v>
      </x:c>
      <x:c r="B3" s="2"/>
      <x:c r="C3" s="2"/>
      <x:c r="D3" s="2"/>
      <x:c r="E3" s="2"/>
      <x:c r="F3" s="2"/>
      <x:c r="G3" s="2"/>
      <x:c r="H3" s="2"/>
    </x:row>
    <x:row r="4" ht="18" customHeight="1">
      <x:c r="A4" s="2" t="str">
        <x:v>Кожне питання прив’язане до ED і вихідного рядка. Аргументи та пропозиції АО можна перенести до аркуша «Спірні» спільного requirements-defects.xlsx.</x:v>
      </x:c>
      <x:c r="B4" s="2"/>
      <x:c r="C4" s="2"/>
      <x:c r="D4" s="2"/>
      <x:c r="E4" s="2"/>
      <x:c r="F4" s="2"/>
      <x:c r="G4" s="2"/>
      <x:c r="H4" s="2"/>
    </x:row>
    <x:row r="5" ht="18" customHeight="1">
      <x:c r="A5" s="2" t="str">
        <x:v>«Не отримано» — стан отриманих матеріалів, а не відмова команди. За ED-24 джерело повідомляє лише зміну критерію КТ; рішення щодо області залишається відкритим.</x:v>
      </x:c>
      <x:c r="B5" s="2"/>
      <x:c r="C5" s="2"/>
      <x:c r="D5" s="2"/>
      <x:c r="E5" s="2"/>
      <x:c r="F5" s="2"/>
      <x:c r="G5" s="2"/>
      <x:c r="H5" s="2"/>
    </x:row>
    <x:row r="6" ht="31.5" customHeight="1">
      <x:c r="A6" s="11" t="str">
        <x:v>ED / ID АО</x:v>
      </x:c>
      <x:c r="B6" s="11" t="str">
        <x:v>Вимога / питання</x:v>
      </x:c>
      <x:c r="C6" s="11" t="str">
        <x:v>Локальні ID та рядок реєстру</x:v>
      </x:c>
      <x:c r="D6" s="11" t="str">
        <x:v>Аргумент за визнання дефекту</x:v>
      </x:c>
      <x:c r="E6" s="11" t="str">
        <x:v>Аргумент проти / ризик правки</x:v>
      </x:c>
      <x:c r="F6" s="11" t="str">
        <x:v>Позиція АО та запропонована дія</x:v>
      </x:c>
      <x:c r="G6" s="11" t="str">
        <x:v>Рішення КТ / замовника</x:v>
      </x:c>
      <x:c r="H6" s="11" t="str">
        <x:v>Потрібне рішення / дані</x:v>
      </x:c>
    </x:row>
    <x:row r="7" ht="85.5" customHeight="1">
      <x:c r="A7" s="21" t="str">
        <x:v>ED-01
AO-01</x:v>
      </x:c>
      <x:c r="B7" s="21" t="str">
        <x:v>F-10</x:v>
      </x:c>
      <x:c r="C7" s="18" t="str">
        <x:v>№1
Реєстр дефектів, рядок 5</x:v>
      </x:c>
      <x:c r="D7" s="18" t="str">
        <x:v>SRS перелічує поля реєстрації, але не задає формати частини даних. За §4.3, пп.4–5, це підстава уточнити відповідні допустимі входи й помилки.</x:v>
      </x:c>
      <x:c r="E7" s="18" t="str">
        <x:v>У F-10 вже задані пароль, перелік полів і позначення обов'язкових полів; GUI-50 задає загальне блокування форми. Вік ≥18, 9–15 цифр телефону та закритий перелік спецсимволів є новими бізнес-обмеженнями. Запис name@domain — приклад, а не повний контракт email.</x:v>
      </x:c>
      <x:c r="F7" s="18" t="str">
        <x:v>Підтримати з уточненням. Уточнити відсутні формати й реакції, не оголошуючи всю форму неперевірюваною. Формат дати відокремити від віку. Віковий поріг, телефон, алфавіт пароля й політику дубліката email погодити окремо. Не додавати непогоджене правило 18+ як обов'язковий наслідок дефекту.</x:v>
      </x:c>
      <x:c r="G7" s="24" t="str">
        <x:v>Не отримано</x:v>
      </x:c>
      <x:c r="H7" s="18" t="str">
        <x:v>Замовник погоджує нові обмеження; частину загальних помилок уже покриває GUI-50.</x:v>
      </x:c>
    </x:row>
    <x:row r="8" ht="72" customHeight="1">
      <x:c r="A8" s="22" t="str">
        <x:v>ED-02
AO-02</x:v>
      </x:c>
      <x:c r="B8" s="22" t="str">
        <x:v>F-20</x:v>
      </x:c>
      <x:c r="C8" s="20" t="str">
        <x:v>№2
Реєстр дефектів, рядок 6</x:v>
      </x:c>
      <x:c r="D8" s="20" t="str">
        <x:v>«На відповідну сторінку» не визначає результат перенаправлення. Порушено §4.2, пп.2,4.</x:v>
      </x:c>
      <x:c r="E8" s="20" t="str">
        <x:v>Дві цільові сторінки є запропонованим контрактом. Цей реєстр не містить доказу актуальної поведінки demo, а спостереження поточного UI не замінює погодження вимоги.</x:v>
      </x:c>
      <x:c r="F8" s="20" t="str">
        <x:v>Підтримати з уточненням. У F-20 явно задати два випадки: звичайний вхід → My account; вхід у checkout → Billing Address, якщо замовник погодить саме їх. Зберегти існуючу реакцію на неправильні дані. Указати це як пропозицію до погодження.</x:v>
      </x:c>
      <x:c r="G8" s="24" t="str">
        <x:v>Не отримано</x:v>
      </x:c>
      <x:c r="H8" s="20" t="str">
        <x:v>КТ/замовник погоджує цільові сторінки; поведінка входу в цьому проході не запускалася.</x:v>
      </x:c>
    </x:row>
    <x:row r="9" ht="85.5" customHeight="1">
      <x:c r="A9" s="21" t="str">
        <x:v>ED-04
AO-04</x:v>
      </x:c>
      <x:c r="B9" s="21" t="str">
        <x:v>GUI-20 / F-40</x:v>
      </x:c>
      <x:c r="C9" s="18" t="str">
        <x:v>№4 / SD-01 / VP-01
Реєстр дефектів, рядок 8</x:v>
      </x:c>
      <x:c r="D9" s="18" t="str">
        <x:v>9 карток у F-40 і 12 у GUI-20 є прямою суперечністю за §4.4, п.2.</x:v>
      </x:c>
      <x:c r="E9" s="18" t="str">
        <x:v>У виправленні написано «три колонки по 9», що читається як 27 карток і створює нову помилку. Посилання на легенду/demo не підтверджує вибір 9: легенду не надано, поточний UI не перевірено. Збіг авторів не є затвердженням числа.</x:v>
      </x:c>
      <x:c r="F9" s="18" t="str">
        <x:v>Підтримати з уточненням. Після погодження 9 записати: «На повній сторінці каталогу відображаються 9 карток загалом, у сітці з трьох колонок; на останній сторінці може бути менше». Зберегти склад картки й Out of stock. Якщо обрано 12 — узгоджено змінити F-40. Усі три локальні знахідки залишити одним ED-04.</x:v>
      </x:c>
      <x:c r="G9" s="24" t="str">
        <x:v>Не отримано</x:v>
      </x:c>
      <x:c r="H9" s="18" t="str">
        <x:v>Погодити 9 або 12. Авторство першого індивідуального аудиту тепер указано в реєстрі як Черватюк.</x:v>
      </x:c>
    </x:row>
    <x:row r="10" ht="85.5" customHeight="1">
      <x:c r="A10" s="22" t="str">
        <x:v>ED-06
AO-06</x:v>
      </x:c>
      <x:c r="B10" s="22" t="str">
        <x:v>F-90</x:v>
      </x:c>
      <x:c r="C10" s="20" t="str">
        <x:v>№6
Реєстр дефектів, рядок 10</x:v>
      </x:c>
      <x:c r="D10" s="20" t="str">
        <x:v>«Миттєво і без помилок» не задає скінченного однозначного критерію успіху. Підтримати §4.7.</x:v>
      </x:c>
      <x:c r="E10" s="20" t="str">
        <x:v>Проста заміна «миттєво» на 2 с без умов мережі й початку/кінця вимірювання може залишити невідтворювану гарантію. Правило 99 треба узгодити з поточним UI та майбутньою інтеграцією BL.</x:v>
      </x:c>
      <x:c r="F10" s="20" t="str">
        <x:v>Підтримати з уточненням. Описати спостережуваний результат: товар додається один раз, повторний SKU збільшує кількість, при перевищенні погодженої межі кошик не змінюється. Для порога 2 с визначити контрольну мережу, стенд і інтервал від дії до підтвердженого оновлення UI. Позначити їх як пропозицію до погодження.</x:v>
      </x:c>
      <x:c r="G10" s="24" t="str">
        <x:v>Не отримано</x:v>
      </x:c>
      <x:c r="H10" s="20" t="str">
        <x:v>Погодження умов часу та розмежування поточного demo/майбутньої інтеграції.</x:v>
      </x:c>
    </x:row>
    <x:row r="11" ht="60" customHeight="1">
      <x:c r="A11" s="21" t="str">
        <x:v>ED-08
AO-08</x:v>
      </x:c>
      <x:c r="B11" s="21" t="str">
        <x:v>F-110 / BL-60</x:v>
      </x:c>
      <x:c r="C11" s="18" t="str">
        <x:v>№8 / VP-10
Реєстр дефектів, рядок 12</x:v>
      </x:c>
      <x:c r="D11" s="18" t="str">
        <x:v>2000 грн у F-110 і 1500 грн у BL-60 дають різні результати для замовлення 1600 грн без знижок. §4.4, п.2 підтверджено текстом.</x:v>
      </x:c>
      <x:c r="E11" s="18" t="str">
        <x:v>1500 і 2000 є справжнім конфліктом, але вибір 1500 ще має статус «Запропоновано». Цей рядок про поріг не вирішує окремого питання бази доставки ED-15.</x:v>
      </x:c>
      <x:c r="F11" s="18" t="str">
        <x:v>Підтримати з уточненням. Погодити один поріг; у F-110 лишити посилання на BL-60 без незалежного дублювання числа. За вибору 1500 уточнити включність межі. Базу та порядок знижок затвердити окремо за ED-15.</x:v>
      </x:c>
      <x:c r="G11" s="24" t="str">
        <x:v>Не отримано</x:v>
      </x:c>
      <x:c r="H11" s="18" t="str">
        <x:v>Одне рішення про поріг доставки; не прирівнювати «Запропоновано» до «Прийнято».</x:v>
      </x:c>
    </x:row>
    <x:row r="12" ht="85.5" customHeight="1">
      <x:c r="A12" s="22" t="str">
        <x:v>ED-09
AO-09</x:v>
      </x:c>
      <x:c r="B12" s="22" t="str">
        <x:v>F-110</x:v>
      </x:c>
      <x:c r="C12" s="20" t="str">
        <x:v>№9
Реєстр дефектів, рядок 13</x:v>
      </x:c>
      <x:c r="D12" s="20" t="str">
        <x:v>Потрібно відрізнити поведінку поточного demo від цільових вимог до нової функції. План не повинен обіцяти перевірити ще не інтегровану функцію через наявний UI.</x:v>
      </x:c>
      <x:c r="E12" s="20" t="str">
        <x:v>Вступ SRS і §1.2 охоплюють поточний продукт та нову функцію, а §2.3 прямо відокремлює бібліотеку від UI. Це допускає різні етапи постачання. Номер релізу інтеграції не заданий; редакція документа SRS 1.1 не встановлює реліз продукту 1.1.</x:v>
      </x:c>
      <x:c r="F12" s="20" t="str">
        <x:v>Не рахувати як доведений дефект. Не зараховувати ED-09 як доведений дефект несуперечливості на цьому обґрунтуванні. Зберегти питання меж: поточні UI-функції перевіряти на demo, BL — на бібліотеці, інтеграцію — після появи відповідної збірки. Фразу «версія 1.1» додавати лише за окремим рішенням про реліз, не за номером редакції SRS.</x:v>
      </x:c>
      <x:c r="G12" s="24" t="str">
        <x:v>Не отримано</x:v>
      </x:c>
      <x:c r="H12" s="20" t="str">
        <x:v>Погодити етап інтеграції та критерії поточної демонстрації; не змінювати roadmap від імені аудитора.</x:v>
      </x:c>
    </x:row>
    <x:row r="13" ht="85.5" customHeight="1">
      <x:c r="A13" s="21" t="str">
        <x:v>ED-11
AO-11</x:v>
      </x:c>
      <x:c r="B13" s="21" t="str">
        <x:v>F-140</x:v>
      </x:c>
      <x:c r="C13" s="18" t="str">
        <x:v>№11
Реєстр дефектів, рядок 15</x:v>
      </x:c>
      <x:c r="D13" s="18" t="str">
        <x:v>Формат і розмір вкладення та реакція на недопустимий файл не задані. Це конкретний пробіл за §4.3, пп.4–5.</x:v>
      </x:c>
      <x:c r="E13" s="18" t="str">
        <x:v>Відсутність верхньої межі тексту сама собою не доводить дефект: мінімум 50 уже визначений. Межа 250, один .txt і 100 КБ є пропозиціями. КБ/КіБ та перевірка формату не взаємозамінні без визначення.</x:v>
      </x:c>
      <x:c r="F13" s="18" t="str">
        <x:v>Підтримати з уточненням. Основний дефект прив'язати до невизначеного контракту вкладень і реакції на відхилення. Погодити кількість, формат та розмір у байтах. Якщо обрано 100 КіБ, це 102400 байт; якщо 100 КБ — явно 100000 байт. Верхню межу тексту вводити лише за потребою замовника, зберігши мінімум 50.</x:v>
      </x:c>
      <x:c r="G13" s="24" t="str">
        <x:v>Не отримано</x:v>
      </x:c>
      <x:c r="H13" s="18" t="str">
        <x:v>Погодити формат, кількість, розмір вкладення й обмеження довжини, якщо воно потрібне.</x:v>
      </x:c>
    </x:row>
    <x:row r="14" ht="72" customHeight="1">
      <x:c r="A14" s="22" t="str">
        <x:v>ED-12
AO-13</x:v>
      </x:c>
      <x:c r="B14" s="22" t="str">
        <x:v>BL-05 (вступ)</x:v>
      </x:c>
      <x:c r="C14" s="20" t="str">
        <x:v>№17
Реєстр дефектів, рядок 16</x:v>
      </x:c>
      <x:c r="D14" s="20" t="str">
        <x:v>Правило типу грошових сум і округлення є нормативним та використовується в перевірках. За вимогою §4.5, п.2 воно потребує стабільного ідентифікатора.</x:v>
      </x:c>
      <x:c r="E14" s="20" t="str">
        <x:v>Не кожен описовий вступний рядок є окремою вимогою. ID потрібен саме нормативному грошовому правилу. Пріоритет High у пропозиції не заданий вихідним вступом і потребує погодження.</x:v>
      </x:c>
      <x:c r="F14" s="20" t="str">
        <x:v>Підтримати з уточненням. Присвоїти вільний ID BL-05 правилу «Усі грошові суми подаються BigDecimal у гривнях; грошові результати округлюються до двох знаків HALF_UP». Опис пакета та класів залишити вступним контекстом. Пріоритет погодити, інші ID не зсувати.</x:v>
      </x:c>
      <x:c r="G14" s="24" t="str">
        <x:v>Не отримано</x:v>
      </x:c>
      <x:c r="H14" s="20" t="str">
        <x:v>BL-05 вільний у SRS 1.0; погодити новий ID та пріоритет. У полі вимоги джерела «BL-05» — запропонований ID, а дефектний об'єкт — вступ §5 без ID.</x:v>
      </x:c>
    </x:row>
    <x:row r="15" ht="99" customHeight="1">
      <x:c r="A15" s="21" t="str">
        <x:v>ED-15
AO-15</x:v>
      </x:c>
      <x:c r="B15" s="21" t="str">
        <x:v>BL-60</x:v>
      </x:c>
      <x:c r="C15" s="18" t="str">
        <x:v>№19
Реєстр дефектів, рядок 19</x:v>
      </x:c>
      <x:c r="D15" s="18" t="str">
        <x:v>Не визначено, чи база доставки враховує лише знижку за обсяг, чи також промокод. Це окремий від числового порога пробіл за §4.2, п.5.</x:v>
      </x:c>
      <x:c r="E15" s="18" t="str">
        <x:v>Реєстр обирає базу без промокоду, тоді як раніша VP-10 допускає обидві знижки. Обидва правила не можна затвердити разом. План L2 передбачає погодження порядку, тому його не слід оголошувати вже затвердженим варіантом B.</x:v>
      </x:c>
      <x:c r="F15" s="18" t="str">
        <x:v>Підтримати з уточненням. Обрати: A — subtotalAfterDiscount = subtotal − volumeDiscount; B — subtotalAfterDiscount = subtotal − volumeDiscount − promoDiscount. За запропонованого порога 1500: subtotal 2100, volumeDiscount 105, promoDiscount 600 дають базу 1995 і доставку 0 у A, базу 1395 і доставку 120 у B. Після рішення синхронізувати BL-60, терміни, F-110 і план L2/T05.</x:v>
      </x:c>
      <x:c r="G15" s="24" t="str">
        <x:v>Не отримано</x:v>
      </x:c>
      <x:c r="H15" s="18" t="str">
        <x:v>Окремо погодити врахування промокоду та порядок обчислення. Поріг 1500 у прикладі є умовою, а не прийнятим рішенням.</x:v>
      </x:c>
    </x:row>
    <x:row r="16" ht="72" customHeight="1">
      <x:c r="A16" s="22" t="str">
        <x:v>ED-16
AO-16</x:v>
      </x:c>
      <x:c r="B16" s="22" t="str">
        <x:v>BL-70</x:v>
      </x:c>
      <x:c r="C16" s="20" t="str">
        <x:v>№20
Реєстр дефектів, рядок 20</x:v>
      </x:c>
      <x:c r="D16" s="20" t="str">
        <x:v>Алфавіт може бути потрібним бізнес-обмеженням; автор посилається на US01 із A–Z і 0–9.</x:v>
      </x:c>
      <x:c r="E16" s="20" t="str">
        <x:v>Беклог US01 не наданий. Правило довжини 6–10 саме по собі не доводить, що інші символи заборонені: вони можуть бути дозволені. Тому факт відсутності обмеження не підтверджує необхідність саме ASCII-алфавіту.</x:v>
      </x:c>
      <x:c r="F16" s="20" t="str">
        <x:v>Умовно: потрібен беклог. Отримати точний текст US01 і перевірити його статус/версію. Якщо A–Z/0–9 є погодженим правилом, доповнити BL-70 і реакцію на інші символи. До цього залишити як умовну знахідку або питання, не включати до підтвердженого нормативу.</x:v>
      </x:c>
      <x:c r="G16" s="24" t="str">
        <x:v>Не отримано</x:v>
      </x:c>
      <x:c r="H16" s="20" t="str">
        <x:v>Фрагмент US-01 із версією/статусом або явне рішення замовника про алфавіт. До цього умовна знахідка не прирівнюється до доведеного дефекту.</x:v>
      </x:c>
    </x:row>
    <x:row r="17" ht="72" customHeight="1">
      <x:c r="A17" s="21" t="str">
        <x:v>ED-18
AO-25</x:v>
      </x:c>
      <x:c r="B17" s="21" t="str">
        <x:v>D-10</x:v>
      </x:c>
      <x:c r="C17" s="18" t="str">
        <x:v>№1 / SD-11
Реєстр дефектів, рядок 22</x:v>
      </x:c>
      <x:c r="D17" s="18" t="str">
        <x:v>D-10 залежить від зовнішнього регламенту, якого немає в отриманому комплекті та в переліку §1.4. Залежність потребує уточнення за §4.3, п.3; відсутність самого документа ще не доведена.</x:v>
      </x:c>
      <x:c r="E17" s="18" t="str">
        <x:v>Новий опис уже обережно каже «відсутній у наданих матеріалах», що точніше за «неіснуючий». З цього не випливає, що джерело слід вилучити або що воно не існує. Рішення про його нормативний статус не надано.</x:v>
      </x:c>
      <x:c r="F17" s="18" t="str">
        <x:v>Умовно: потрібен регламент. Уточнити в замовника посилання, версію й статус регламенту. Якщо він існує — додати точну прив'язку в §1.4 та забезпечити доступ. Вилучення залежності D-10 дозволене лише після погодження іншого нормативного джерела правил.</x:v>
      </x:c>
      <x:c r="G17" s="24" t="str">
        <x:v>Не отримано</x:v>
      </x:c>
      <x:c r="H17" s="18" t="str">
        <x:v>Надати регламент або отримати рішення про його відсутність/незастосовність. Авторів Якимчука й Сидорова наведено за спільним реєстром.</x:v>
      </x:c>
    </x:row>
    <x:row r="18" ht="85.5" customHeight="1">
      <x:c r="A18" s="22" t="str">
        <x:v>ED-19
AO-28</x:v>
      </x:c>
      <x:c r="B18" s="22" t="str">
        <x:v>F-140 (§2.1)</x:v>
      </x:c>
      <x:c r="C18" s="20" t="str">
        <x:v>№2
Реєстр дефектів, рядок 23</x:v>
      </x:c>
      <x:c r="D18" s="20" t="str">
        <x:v>§2.1 дозволяє гостю контактну форму. F-140 описує підтвердження та My messages лише для зареєстрованого покупця. Якщо форма передбачає відповідь гостю, канал її отримання не визначений: §4.3, п.1–2.</x:v>
      </x:c>
      <x:c r="E18" s="20" t="str">
        <x:v>SRS прямо не гарантує відповідь на кожне звернення та не визначає строк. Отже слід уточнити очікувану послугу, а не вигадувати доставку листа. Зміна через email залежить від сервісу й не тотожна доступу в кабінет.</x:v>
      </x:c>
      <x:c r="F18" s="20" t="str">
        <x:v>Підтримати з уточненням. Уточнити, чи замовник очікує відповідь гостю. Якщо так: «Для гостя відповідь надсилається на email із контактної форми; для покупця з активним сеансом вона також відображається в My messages». Зберегти підтвердження прийняття. Окремо погодити обробку відмови надсилання; строк відповіді не вводити без рішення.</x:v>
      </x:c>
      <x:c r="G18" s="24" t="str">
        <x:v>Не отримано</x:v>
      </x:c>
      <x:c r="H18" s="20" t="str">
        <x:v>Погодити обов'язковість і канал відповіді гостю. Джерело — рядок Якимчука у зведенні; окремий його аудит не надано.</x:v>
      </x:c>
    </x:row>
    <x:row r="19" ht="85.5" customHeight="1">
      <x:c r="A19" s="21" t="str">
        <x:v>ED-20
AO-21</x:v>
      </x:c>
      <x:c r="B19" s="21" t="str">
        <x:v>P-10</x:v>
      </x:c>
      <x:c r="C19" s="18" t="str">
        <x:v>№3 / SD-07
Реєстр дефектів, рядок 24</x:v>
      </x:c>
      <x:c r="D19" s="18" t="str">
        <x:v>0,1 с на будь-якому пристрої й за будь-якої мережі не забезпечується ресурсами продукту. §4.6 підтверджено.</x:v>
      </x:c>
      <x:c r="E19" s="18" t="str">
        <x:v>2 с і швидкість від 10 Мбіт/с — лише запропоновані умови. Однієї пропускної здатності недостатньо: не задані затримка, пристрій, кеш, обсяг каталогу та подія готовності. Реєстр пропонує 2 с, SD-07 — 3 с; єдиний критерій ще не обрано.</x:v>
      </x:c>
      <x:c r="F19" s="18" t="str">
        <x:v>Підтримати з уточненням. Погодити один контрольний профіль: браузер/вікно, обладнання, версія збірки, 10 Мбіт/с, затримка, кеш і тестові дані. Визначити початок відліку й готовність каталогу до дій. Обрати 2 або 3 с та кількість повторів/правило приймання. Усі числа до погодження лишаються пропозиціями.</x:v>
      </x:c>
      <x:c r="G19" s="24" t="str">
        <x:v>Не отримано</x:v>
      </x:c>
      <x:c r="H19" s="18" t="str">
        <x:v>Одне рішення щодо метрики і порога; вимірювань не проводили.</x:v>
      </x:c>
    </x:row>
    <x:row r="20" ht="85.5" customHeight="1">
      <x:c r="A20" s="22" t="str">
        <x:v>ED-21
AO-22</x:v>
      </x:c>
      <x:c r="B20" s="22" t="str">
        <x:v>S-10</x:v>
      </x:c>
      <x:c r="C20" s="20" t="str">
        <x:v>№4 / SD-08
Реєстр дефектів, рядок 25</x:v>
      </x:c>
      <x:c r="D20" s="20" t="str">
        <x:v>Абсолютне «не містить вразливостей» і невизначене «надійно захищені» не дають перевірюваних меж. §4.7 застосовано обґрунтовано.</x:v>
      </x:c>
      <x:c r="E20" s="20" t="str">
        <x:v>Парольні хеші не перевіряються звичайним UI або самим фактом входу. Потрібні дозволений доступ до коду/сховища чи окремий доказ від відповідального. Два акаунти покривають лише погоджений сценарій розмежування доступу, а не всі вразливості.</x:v>
      </x:c>
      <x:c r="F20" s="20" t="str">
        <x:v>Підтримати з уточненням. Розділити погоджений обсяг S-10: HTTPS для передачі, розмежування доступу A/B та зберігання паролів. Для кожного назвати перевірюваний об'єкт, спосіб доказу й очікуваний результат. Відсутність доступу до серверної реалізації позначити залежністю для перевірки хешування. Не стверджувати відсутність усіх вразливостей.</x:v>
      </x:c>
      <x:c r="G20" s="24" t="str">
        <x:v>Не отримано</x:v>
      </x:c>
      <x:c r="H20" s="20" t="str">
        <x:v>КТ/замовник погоджує обсяг безпеки. Для хешування потрібен окремий доказ; для доступу — власні профілі й нормативний API-контракт.</x:v>
      </x:c>
    </x:row>
    <x:row r="21" ht="85.5" customHeight="1">
      <x:c r="A21" s="21" t="str">
        <x:v>ED-22
AO-23</x:v>
      </x:c>
      <x:c r="B21" s="21" t="str">
        <x:v>U-10</x:v>
      </x:c>
      <x:c r="C21" s="18" t="str">
        <x:v>№5 / SD-09
Реєстр дефектів, рядок 26</x:v>
      </x:c>
      <x:c r="D21" s="18" t="str">
        <x:v>Не задано задач, користувачів і критеріїв успіху, а «для всіх» не перевіряється скінченним дослідом. §4.7 підтримано.</x:v>
      </x:c>
      <x:c r="E21" s="18" t="str">
        <x:v>«Не довше ніж за 3–5 хв» лишає два різні граничні результати: завершення за 4 хв може пройти або не пройти. Поняття «помилка», завершення оплати й вихідний досвід учасників також не визначені. План T03 пропонує 5 хв, але це ще не затверджено.</x:v>
      </x:c>
      <x:c r="F21" s="18" t="str">
        <x:v>Підтримати з уточненням. Погодити одне число, наприклад не більше 5 хв, максимум одну визначену сценарієм помилку й критерій 4 із 5. Указати, що означає «новий», чи готовий акаунт до старту, початок відліку та завершення номером тестового інвойсу. Це критерій заданого сценарію, а не доказ зручності для всіх людей.</x:v>
      </x:c>
      <x:c r="G21" s="24" t="str">
        <x:v>Не отримано</x:v>
      </x:c>
      <x:c r="H21" s="18" t="str">
        <x:v>Обрати 3 або 5 хв та визначити протокол. Після рішення синхронізувати U-10 і T03 плану.</x:v>
      </x:c>
    </x:row>
    <x:row r="22" ht="85.5" customHeight="1">
      <x:c r="A22" s="22" t="str">
        <x:v>ED-24
AO-29</x:v>
      </x:c>
      <x:c r="B22" s="22" t="str">
        <x:v>U-30 (375px) ↔ §2.2</x:v>
      </x:c>
      <x:c r="C22" s="20" t="str">
        <x:v>№7 (перекласифіковано КТ з «Простежуваності» на «Несуперечливість» — по суті це суперечність двох вимог, а не відсутність ID)
Реєстр дефектів, рядок 28</x:v>
      </x:c>
      <x:c r="D22" s="20" t="str">
        <x:v>§2.2 обмежує підтримуване вікно мінімумом 1280×800, а §6 вимагає відображення за 375 px. Потрібна явна область обох правил за §4.4, п.2. Це інша правка, ніж додавання ID в ED-23.</x:v>
      </x:c>
      <x:c r="E22" s="20" t="str">
        <x:v>375 px не означає окремий мобільний застосунок. Просто замінити 1280×800 на «від 375» недостатньо: втрачається висота й змішуються повний функціональний прогін та адаптивність. G28 джерела повідомляє про зміну критерію КТ, але не про прийняття самої правки.</x:v>
      </x:c>
      <x:c r="F22" s="20" t="str">
        <x:v>Підтримати з уточненням. Узгодити одну область: A — зберегти функціональні перевірки на desktop від 1280×800 і явно додати підтримку адаптивності вебінтерфейсу за ширини 375 px з тими самими браузерами та погодженою висотою; B — лише за рішенням замовника відкласти U-30. Окремий mobile app залишається поза поточним обсягом.</x:v>
      </x:c>
      <x:c r="G22" s="24" t="str">
        <x:v>Не отримано</x:v>
      </x:c>
      <x:c r="H22" s="20" t="str">
        <x:v>Потрібне рішення про область, браузери й висоту. За реєстром КТ перекласифікував критерій; рішення щодо виправлення не отримано.</x:v>
      </x:c>
    </x:row>
    <x:row r="23" ht="99" customHeight="1">
      <x:c r="A23" s="21" t="str">
        <x:v>ED-26
AO-19</x:v>
      </x:c>
      <x:c r="B23" s="21" t="str">
        <x:v>GUI-80</x:v>
      </x:c>
      <x:c r="C23" s="18" t="str">
        <x:v>SD-05 / VP-05
Реєстр дефектів, рядок 30</x:v>
      </x:c>
      <x:c r="D23" s="18" t="str">
        <x:v>8K без стиснення за 50 мс за будь-якої мережі — нездійсненна універсальна гарантія. §4.6 підтверджено.</x:v>
      </x:c>
      <x:c r="E23" s="18" t="str">
        <x:v>Спільна пропозиція звела всі зображення до ≤300 КіБ; це не тотожне ранішій VP-05 (картка 300, сторінка товару 500) чи SD-05 (200/500). Не визначені кеш, кінець завантаження й число вимірювань. Дані не підтверджують, що обрані числа досяжні на поточному demo.</x:v>
      </x:c>
      <x:c r="F23" s="18" t="str">
        <x:v>Підтримати з уточненням. Погодити одну редакцію для обох об'єктів: ліміт зображення картки й сторінки товару, формат, вікно/браузер, мережа 10 Мбіт/с і RTT 50 мс, кеш, межі вимірювання та вибірка. Якщо погоджено 20 повторів і ≥95%, явно записати ≥19 із 20 не довше 1 с. Ліміти 300/500 або єдині 300 КіБ обирає замовник; не зливати різні пропозиції без рішення.</x:v>
      </x:c>
      <x:c r="G23" s="24" t="str">
        <x:v>Не отримано</x:v>
      </x:c>
      <x:c r="H23" s="18" t="str">
        <x:v>Замовник погоджує одну редакцію; кілька аудиторів не створюють кілька дефектів.</x:v>
      </x:c>
    </x:row>
    <x:row r="24" ht="85.5" customHeight="1">
      <x:c r="A24" s="22" t="str">
        <x:v>ED-27
AO-20</x:v>
      </x:c>
      <x:c r="B24" s="22" t="str">
        <x:v>GUI-100</x:v>
      </x:c>
      <x:c r="C24" s="20" t="str">
        <x:v>SD-06 / VP-06
Реєстр дефектів, рядок 31</x:v>
      </x:c>
      <x:c r="D24" s="20" t="str">
        <x:v>«Приємний», «сучасний», «легкий для читання» не мають визначених умов приймання. §4.7 підтверджено.</x:v>
      </x:c>
      <x:c r="E24" s="20" t="str">
        <x:v>16 CSS px, 4,5:1 і масштаб 200% є конкретними запропонованими критеріями читабельності, але не доводять «приємність і сучасність» дизайну. Не задані сторінки й об'єкти перевірки.</x:v>
      </x:c>
      <x:c r="F24" s="20" t="str">
        <x:v>Підтримати з уточненням. Погодити перелік сторінок та основного тексту, застосовність запропонованого контрасту, масштаб 200% і відсутність обрізання/втрати функцій. Для естетичної частини окремо визначити погоджений зразок або явно звузити вимогу до читабельності. Увесь стандарт доступності виконаним не оголошувати.</x:v>
      </x:c>
      <x:c r="G24" s="24" t="str">
        <x:v>Не отримано</x:v>
      </x:c>
      <x:c r="H24" s="20" t="str">
        <x:v>Єдина редакція та підтвердження візуальних критеріїв замовником.</x:v>
      </x:c>
    </x:row>
    <x:row r="25" ht="72" customHeight="1">
      <x:c r="A25" s="21" t="str">
        <x:v>ED-28
AO-26</x:v>
      </x:c>
      <x:c r="B25" s="21" t="str">
        <x:v>BL-50</x:v>
      </x:c>
      <x:c r="C25" s="18" t="str">
        <x:v>VP-08
Реєстр дефектів, рядок 32</x:v>
      </x:c>
      <x:c r="D25" s="18" t="str">
        <x:v>Пороги «від 2000», «від 5000», «від 10000» не містять явного правила вибору єдиного інтервалу. Неперетинні діапазони усувають ризик різних реалізацій за §4.2, пп.1,4.</x:v>
      </x:c>
      <x:c r="E25" s="18" t="str">
        <x:v>Запис 0–2000 / 2000–5000 / 5000–10000 не визначає включність кінців і знову перетинається на 2000, 5000, 10000. Перелік результатів volumeDiscountPercent уже 0/5/10/15, тому сумування до 30% не є сумісним читанням цього методу.</x:v>
      </x:c>
      <x:c r="F25" s="18" t="str">
        <x:v>Підтримати з уточненням. Записати явно: 0 ≤ s &lt; 2000 → 0%; 2000 ≤ s &lt; 5000 → 5%; 5000 ≤ s &lt; 10000 → 10%; s ≥ 10000 → 15%. Застосовується рівно один інтервал; для s &lt; 0 зберегти IllegalArgumentException, грошове округлення HALF_UP. Обґрунтування обмежити правилом вибору порога.</x:v>
      </x:c>
      <x:c r="G25" s="24" t="str">
        <x:v>Не отримано</x:v>
      </x:c>
      <x:c r="H25" s="18" t="str">
        <x:v>Уточнення аргументу внесено до власного файла; затвердження SRS залишається за командою.</x:v>
      </x:c>
    </x:row>
    <x:row r="26" ht="85.5" customHeight="1">
      <x:c r="A26" s="22" t="str">
        <x:v>ED-29
AO-27</x:v>
      </x:c>
      <x:c r="B26" s="22" t="str">
        <x:v>BL-70</x:v>
      </x:c>
      <x:c r="C26" s="20" t="str">
        <x:v>VP-09
Реєстр дефектів, рядок 33</x:v>
      </x:c>
      <x:c r="D26" s="20" t="str">
        <x:v>Для відсоткового коду не визначено реакцію на від'ємний subtotal, а формула apply дає від'ємну знижку. Реакція на null-аргументи також не задана в SRS. §4.3, пп.4–5 застосовний до цього контракту.</x:v>
      </x:c>
      <x:c r="E26" s="20" t="str">
        <x:v>IllegalArgumentException і перевірка аргументів перед перевіркою придатності коду — запропонований порядок. Загальну політику null міг задавати README, якого немає; не слід вигадувати список аргументів за невідомими типами.</x:v>
      </x:c>
      <x:c r="F26" s="20" t="str">
        <x:v>Підтримати з уточненням. Уточнити контракт validate/apply: subtotal не від'ємний; перелічити аргументи, для яких null заборонений, тип помилки та пріоритет перевірок. Погодити IllegalArgumentException або точне нормативне посилання на наданий контракт. Зберегти наявні умови коду й виняток для непридатного apply.</x:v>
      </x:c>
      <x:c r="G26" s="24" t="str">
        <x:v>Не отримано</x:v>
      </x:c>
      <x:c r="H26" s="20" t="str">
        <x:v>Звірити з контрактом модуля перед остаточним прийняттям; запуск Java-коду не проводився.</x:v>
      </x:c>
    </x:row>
  </x:sheetData>
  <x:dataValidations count="1">
    <x:dataValidation type="list" sqref="G7:G26">
      <x:formula1>"Не отримано,Прийнято КТ,Відхилено КТ,Потрібне рішення замовника"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79621f6b4a4936"/>
  </x:tableParts>
</x:worksheet>
</file>