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a02c0796e848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еревірка знахідок" sheetId="1" r:id="R8688ff9c29f54ff1"/>
    <x:sheet xmlns:r="http://schemas.openxmlformats.org/officeDocument/2006/relationships" name="Спірні" sheetId="2" r:id="Rcec40ebedc3440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243447"/>
      <x:name val="Arial"/>
    </x:font>
    <x:font>
      <x:b/>
      <x:sz val="16"/>
      <x:color rgb="FF263F5D"/>
      <x:name val="Arial"/>
    </x:font>
    <x:font>
      <x:b/>
      <x:sz val="11"/>
      <x:color rgb="FFFFFFFF"/>
      <x:name val="Arial"/>
    </x:font>
    <x:font>
      <x:b/>
      <x:sz val="11"/>
      <x:color rgb="FF263F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2F5F9"/>
      </x:patternFill>
    </x:fill>
    <x:fill>
      <x:patternFill patternType="solid">
        <x:fgColor rgb="FF263F5D"/>
      </x:patternFill>
    </x:fill>
    <x:fill>
      <x:patternFill patternType="solid">
        <x:fgColor rgb="FFFFF1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ill>
        <x:patternFill patternType="solid">
          <x:bgColor rgb="FFFFF1CC"/>
        </x:patternFill>
      </x:fill>
    </x:dxf>
    <x:dxf>
      <x:font>
        <x:b/>
        <x:color rgb="FF9A3324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54336282204d79" /><Relationship Type="http://schemas.openxmlformats.org/officeDocument/2006/relationships/theme" Target="/xl/theme/theme1.xml" Id="Rbd9e850bacc041e1" /><Relationship Type="http://schemas.openxmlformats.org/officeDocument/2006/relationships/sharedStrings" Target="/xl/sharedStrings.xml" Id="R071d8b466b524eb1" /><Relationship Type="http://schemas.openxmlformats.org/officeDocument/2006/relationships/worksheet" Target="/xl/worksheets/sheet1.xml" Id="R8688ff9c29f54ff1" /><Relationship Type="http://schemas.openxmlformats.org/officeDocument/2006/relationships/worksheet" Target="/xl/worksheets/sheet2.xml" Id="Rcec40ebedc344090" /></Relationships>
</file>

<file path=xl/tables/table1.xml><?xml version="1.0" encoding="utf-8"?>
<x:table xmlns:x="http://schemas.openxmlformats.org/spreadsheetml/2006/main" id="1" name="AOPetrenkoFindings" displayName="AOPetrenkoFindings" ref="A6:I33" headerRowCount="1" totalsRowCount="0" totalsRowShown="0">
  <x:tableColumns count="9">
    <x:tableColumn id="1" name="ID АО"/>
    <x:tableColumn id="2" name="Вимоги / об’єкт"/>
    <x:tableColumn id="3" name="Джерело до аркуша й рядка"/>
    <x:tableColumn id="4" name="Головний критерій"/>
    <x:tableColumn id="5" name="Аргумент на користь знахідки"/>
    <x:tableColumn id="6" name="Заперечення / ризик виправлення"/>
    <x:tableColumn id="7" name="Рекомендована дія / редакція"/>
    <x:tableColumn id="8" name="Висновок АО"/>
    <x:tableColumn id="9" name="Що потрібно для погодження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OPetrenkoDisputes" displayName="AOPetrenkoDisputes" ref="A6:H21" headerRowCount="1" totalsRowCount="0" totalsRowShown="0">
  <x:tableColumns count="8">
    <x:tableColumn id="1" name="ID АО"/>
    <x:tableColumn id="2" name="Вимога / питання"/>
    <x:tableColumn id="3" name="Локальні посилання джерел"/>
    <x:tableColumn id="4" name="Аргумент за визнання дефекту"/>
    <x:tableColumn id="5" name="Аргумент проти / ризик правки"/>
    <x:tableColumn id="6" name="Позиція АО та запропонована дія"/>
    <x:tableColumn id="7" name="Рішення КТ / замовника"/>
    <x:tableColumn id="8" name="Потрібне рішення / дані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5414f846c144ae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7612274bd254ddc" /></Relationships>
</file>

<file path=xl/worksheets/sheet1.xml><?xml version="1.0" encoding="utf-8"?>
<x:worksheet xmlns:x="http://schemas.openxmlformats.org/spreadsheetml/2006/main">
  <x:sheetPr>
    <x:tabColor rgb="FF263F5D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1.109999656677246" hidden="0" customWidth="1"/>
    <x:col min="2" max="2" width="28.329999923706055" hidden="0" customWidth="1"/>
    <x:col min="3" max="3" width="50.560001373291016" hidden="0" customWidth="1"/>
    <x:col min="4" max="4" width="20.559999465942383" hidden="0" customWidth="1"/>
    <x:col min="5" max="5" width="56.66999816894531" hidden="0" customWidth="1"/>
    <x:col min="6" max="6" width="56.66999816894531" hidden="0" customWidth="1"/>
    <x:col min="7" max="7" width="63.33000183105469" hidden="0" customWidth="1"/>
    <x:col min="8" max="8" width="29.440000534057617" hidden="0" customWidth="1"/>
    <x:col min="9" max="9" width="47.779998779296875" hidden="0" customWidth="1"/>
  </x:cols>
  <x:sheetData>
    <x:row r="1" ht="1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4" customHeight="1">
      <x:c r="A2" s="3" t="str">
        <x:v>Висновки аудитора-опонента за отриманими аудитами</x:v>
      </x:c>
      <x:c r="B2" s="2"/>
      <x:c r="C2" s="2"/>
      <x:c r="D2" s="2"/>
      <x:c r="E2" s="2"/>
      <x:c r="F2" s="2"/>
      <x:c r="G2" s="2"/>
      <x:c r="H2" s="2"/>
      <x:c r="I2" s="2"/>
    </x:row>
    <x:row r="3" ht="18" customHeight="1">
      <x:c r="A3" s="2" t="str">
        <x:v>Петренко Валентин. ШопЛайн. Спринт 2. 18.10.2026. Рекомендації для погодження.</x:v>
      </x:c>
      <x:c r="B3" s="2"/>
      <x:c r="C3" s="2"/>
      <x:c r="D3" s="2"/>
      <x:c r="E3" s="2"/>
      <x:c r="F3" s="2"/>
      <x:c r="G3" s="2"/>
      <x:c r="H3" s="2"/>
      <x:c r="I3" s="2"/>
    </x:row>
    <x:row r="4" ht="18" customHeight="1">
      <x:c r="A4" s="2" t="str">
        <x:v>Джерела: audit_3_5.xlsx; audit-sydorov.xlsx; S2_Petrenko_audit.xlsx; SRS 1.0; методичка спринту 2, §§4.2–4.9 і 5.2.</x:v>
      </x:c>
      <x:c r="B4" s="2"/>
      <x:c r="C4" s="2"/>
      <x:c r="D4" s="2"/>
      <x:c r="E4" s="2"/>
      <x:c r="F4" s="2"/>
      <x:c r="G4" s="2"/>
      <x:c r="H4" s="2"/>
      <x:c r="I4" s="2"/>
    </x:row>
    <x:row r="5" ht="18" customHeight="1">
      <x:c r="A5" s="2" t="str">
        <x:v>TA-xx — умовний індекс знахідки першого файла; авторство підтвердити. SD/VP — локальні ID джерел. Цей файл не є фінальним командним реєстром.</x:v>
      </x:c>
      <x:c r="B5" s="2"/>
      <x:c r="C5" s="2"/>
      <x:c r="D5" s="2"/>
      <x:c r="E5" s="2"/>
      <x:c r="F5" s="2"/>
      <x:c r="G5" s="2"/>
      <x:c r="H5" s="2"/>
      <x:c r="I5" s="2"/>
    </x:row>
    <x:row r="6" ht="31.5" customHeight="1">
      <x:c r="A6" s="11" t="str">
        <x:v>ID АО</x:v>
      </x:c>
      <x:c r="B6" s="11" t="str">
        <x:v>Вимоги / об’єкт</x:v>
      </x:c>
      <x:c r="C6" s="11" t="str">
        <x:v>Джерело до аркуша й рядка</x:v>
      </x:c>
      <x:c r="D6" s="11" t="str">
        <x:v>Головний критерій</x:v>
      </x:c>
      <x:c r="E6" s="11" t="str">
        <x:v>Аргумент на користь знахідки</x:v>
      </x:c>
      <x:c r="F6" s="11" t="str">
        <x:v>Заперечення / ризик виправлення</x:v>
      </x:c>
      <x:c r="G6" s="11" t="str">
        <x:v>Рекомендована дія / редакція</x:v>
      </x:c>
      <x:c r="H6" s="11" t="str">
        <x:v>Висновок АО</x:v>
      </x:c>
      <x:c r="I6" s="11" t="str">
        <x:v>Що потрібно для погодження</x:v>
      </x:c>
    </x:row>
    <x:row r="7" ht="69" customHeight="1">
      <x:c r="A7" s="12" t="str">
        <x:v>AO-01</x:v>
      </x:c>
      <x:c r="B7" s="12" t="str">
        <x:v>F-10</x:v>
      </x:c>
      <x:c r="C7" s="5" t="str">
        <x:v>TA-01
audit_3_5.xlsx / Розд.3 / рядок 2, I2:J2, №1</x:v>
      </x:c>
      <x:c r="D7" s="5" t="str">
        <x:v>Повнота</x:v>
      </x:c>
      <x:c r="E7" s="5" t="str">
        <x:v>SRS перелічує поля реєстрації, але не задає формати частини даних. За §4.3, пп.4–5, це підстава уточнити відповідні допустимі входи й помилки.</x:v>
      </x:c>
      <x:c r="F7" s="5" t="str">
        <x:v>Твердження «негативні тест-кейси побудувати неможливо» надто широке: для пароля вже задані обмеження, а GUI-50 задає загальне блокування помилкової форми. Вік 18+, телефон 9–15 цифр та перелік спецсимволів є новими правилами, а не знайденими фактами.</x:v>
      </x:c>
      <x:c r="G7" s="5" t="str">
        <x:v>Звузити опис до конкретно відсутніх форматів і реакцій. Погодити допустимі формати дати й телефону, політику дубліката email та допустимі спецсимволи. Вікове обмеження вводити лише за окремим рішенням замовника; не робити його обов'язковим виправленням технічного пробілу.</x:v>
      </x:c>
      <x:c r="H7" s="5" t="str">
        <x:v>Підтримати з уточненням</x:v>
      </x:c>
      <x:c r="I7" s="5" t="str">
        <x:v>Замовник погоджує нові обмеження; частину загальних помилок уже покриває GUI-50.</x:v>
      </x:c>
    </x:row>
    <x:row r="8" ht="69" customHeight="1">
      <x:c r="A8" s="13" t="str">
        <x:v>AO-02</x:v>
      </x:c>
      <x:c r="B8" s="13" t="str">
        <x:v>F-20</x:v>
      </x:c>
      <x:c r="C8" s="6" t="str">
        <x:v>TA-02
audit_3_5.xlsx / Розд.3 / рядок 3, I3:J3, №2</x:v>
      </x:c>
      <x:c r="D8" s="6" t="str">
        <x:v>Однозначність</x:v>
      </x:c>
      <x:c r="E8" s="6" t="str">
        <x:v>«На відповідну сторінку» не визначає результат перенаправлення. Порушено §4.2, пп.2,4.</x:v>
      </x:c>
      <x:c r="F8" s="6" t="str">
        <x:v>Позначка «Поведінка за demo» не супроводжується спостереженням, датою або доказом. Вхід у demo в цьому рев'ю не виконувався.</x:v>
      </x:c>
      <x:c r="G8" s="6" t="str">
        <x:v>Підтримати конкретизацію: звичайний вхід веде на «My account», вхід під час checkout — на «Billing Address», якщо це погоджена цільова поведінка. До перевірки замінити «Поведінка за demo» на «Запропонована поведінка, потребує підтвердження».</x:v>
      </x:c>
      <x:c r="H8" s="6" t="str">
        <x:v>Підтримати з уточненням</x:v>
      </x:c>
      <x:c r="I8" s="6" t="str">
        <x:v>Підтвердження замовника або окремо зафіксоване спостереження поточного demo.</x:v>
      </x:c>
    </x:row>
    <x:row r="9" ht="69" customHeight="1">
      <x:c r="A9" s="12" t="str">
        <x:v>AO-03</x:v>
      </x:c>
      <x:c r="B9" s="12" t="str">
        <x:v>F-30</x:v>
      </x:c>
      <x:c r="C9" s="5" t="str">
        <x:v>TA-03
audit_3_5.xlsx / Розд.3 / рядок 4, I4:J4, №3</x:v>
      </x:c>
      <x:c r="D9" s="5" t="str">
        <x:v>Здійсненність</x:v>
      </x:c>
      <x:c r="E9" s="5" t="str">
        <x:v>Гарантія доставки листа за 1 с незалежно від провайдера виходить за контроль продукту. Головний критерій — §4.6.</x:v>
      </x:c>
      <x:c r="F9" s="5" t="str">
        <x:v>Запропоновані 5 с не є вимірюванням. Повідомлення «лист надіслано» має відповідати успішній передачі, а не лише натисканню кнопки.</x:v>
      </x:c>
      <x:c r="G9" s="5" t="str">
        <x:v>Залишити обмеження на власну дію системи: передати запит погодженому поштовому сервісу за визначених умов. Поріг 5 с, початок/кінець вимірювання й реакцію на відмову сервісу погодити. Час доставки стороннім провайдером не гарантувати.</x:v>
      </x:c>
      <x:c r="H9" s="5" t="str">
        <x:v>Підтримати з уточненням</x:v>
      </x:c>
      <x:c r="I9" s="5" t="str">
        <x:v>Погодження порога, меж вимірювання та обробки помилки сервісу.</x:v>
      </x:c>
    </x:row>
    <x:row r="10" ht="69" customHeight="1">
      <x:c r="A10" s="13" t="str">
        <x:v>AO-04</x:v>
      </x:c>
      <x:c r="B10" s="13" t="str">
        <x:v>F-40 ↔ GUI-20</x:v>
      </x:c>
      <x:c r="C10" s="6" t="str">
        <x:v>TA-04, SD-01, VP-01
audit_3_5.xlsx / Розд.3 / рядок 5, №4; audit-sydorov.xlsx / Аудит Сидорова / рядок 6, SD-01; особистий аудит VP-01</x:v>
      </x:c>
      <x:c r="D10" s="6" t="str">
        <x:v>Несуперечливість</x:v>
      </x:c>
      <x:c r="E10" s="6" t="str">
        <x:v>9 карток у F-40 і 12 у GUI-20 є прямою суперечністю за §4.4, п.2.</x:v>
      </x:c>
      <x:c r="F10" s="6" t="str">
        <x:v>Посилання на «легенду каталогу і demo» у першому аудиті не перевірено: легенду не надано, UI не запускався. Збіг трьох аудиторів не робить число 9 автоматично затвердженим.</x:v>
      </x:c>
      <x:c r="G10" s="6" t="str">
        <x:v>Об'єднати три джерела в один дефект. Погодити 9 або 12; якщо 9 — застосувати редакцію з 9 картками на повній сторінці, меншою кількістю на останній і збереженням усіх властивостей картки. Якщо 12 — узгоджено змінити F-40.</x:v>
      </x:c>
      <x:c r="H10" s="6" t="str">
        <x:v>Підтримати з уточненням</x:v>
      </x:c>
      <x:c r="I10" s="6" t="str">
        <x:v>Одне рішення щодо кількості карток; підтвердження авторства першого файла.</x:v>
      </x:c>
    </x:row>
    <x:row r="11" ht="69" customHeight="1">
      <x:c r="A11" s="12" t="str">
        <x:v>AO-05</x:v>
      </x:c>
      <x:c r="B11" s="12" t="str">
        <x:v>F-60</x:v>
      </x:c>
      <x:c r="C11" s="5" t="str">
        <x:v>TA-05
audit_3_5.xlsx / Розд.3 / рядок 7, I7:J7, №5</x:v>
      </x:c>
      <x:c r="D11" s="5" t="str">
        <x:v>Однозначність</x:v>
      </x:c>
      <x:c r="E11" s="5" t="str">
        <x:v>Слово «схожі» не визначає правило зіставлення назви із запитом. §4.2, пп.2,4 застосовано обґрунтовано.</x:v>
      </x:c>
      <x:c r="F11" s="5" t="str">
        <x:v>Пошук підрядка без урахування регістру є одним із варіантів бізнес-поведінки, а не наслідком самого слова «схожі».</x:v>
      </x:c>
      <x:c r="G11" s="5" t="str">
        <x:v>Зберегти решту F-60. Погодити правило пошуку: назва містить введений запит без урахування регістру. Окремо, за потреби, задати обробку пробілів і порожнього запиту; не видавати запропонований алгоритм за перевірений на demo.</x:v>
      </x:c>
      <x:c r="H11" s="5" t="str">
        <x:v>Підтримати з уточненням</x:v>
      </x:c>
      <x:c r="I11" s="5" t="str">
        <x:v>Погоджене правило зіставлення; це вже позначено як пропозицію у джерелі.</x:v>
      </x:c>
    </x:row>
    <x:row r="12" ht="82.5" customHeight="1">
      <x:c r="A12" s="13" t="str">
        <x:v>AO-06</x:v>
      </x:c>
      <x:c r="B12" s="13" t="str">
        <x:v>F-90</x:v>
      </x:c>
      <x:c r="C12" s="6" t="str">
        <x:v>TA-06
audit_3_5.xlsx / Розд.3 / рядок 10, I10:J10, №6</x:v>
      </x:c>
      <x:c r="D12" s="6" t="str">
        <x:v>Тестопридатність</x:v>
      </x:c>
      <x:c r="E12" s="6" t="str">
        <x:v>«Миттєво і без помилок» не задає скінченного однозначного критерію успіху. Підтримати §4.7.</x:v>
      </x:c>
      <x:c r="F12" s="6" t="str">
        <x:v>Проста заміна «миттєво» на 2 с без умов мережі й початку/кінця вимірювання може залишити невідтворювану гарантію. Правило 99 треба узгодити з поточним UI та майбутньою інтеграцією BL.</x:v>
      </x:c>
      <x:c r="G12" s="6" t="str">
        <x:v>Описати спостережуваний результат: товар додається один раз, повторний SKU збільшує кількість, при перевищенні погодженої межі кошик не змінюється. Для порога 2 с визначити контрольну мережу, стенд і інтервал від дії до підтвердженого оновлення UI. Позначити їх як пропозицію до погодження.</x:v>
      </x:c>
      <x:c r="H12" s="6" t="str">
        <x:v>Підтримати з уточненням</x:v>
      </x:c>
      <x:c r="I12" s="6" t="str">
        <x:v>Погодження умов часу та розмежування поточного demo/майбутньої інтеграції.</x:v>
      </x:c>
    </x:row>
    <x:row r="13" ht="69" customHeight="1">
      <x:c r="A13" s="12" t="str">
        <x:v>AO-07</x:v>
      </x:c>
      <x:c r="B13" s="12" t="str">
        <x:v>F-100 → BL-25</x:v>
      </x:c>
      <x:c r="C13" s="5" t="str">
        <x:v>TA-07
audit_3_5.xlsx / Розд.3 / рядок 11, I11:J11, №7</x:v>
      </x:c>
      <x:c r="D13" s="5" t="str">
        <x:v>Повнота</x:v>
      </x:c>
      <x:c r="E13" s="5" t="str">
        <x:v>BL-25 у наданій SRS відсутня. Дефект полягає в неіснуючому об'єкті посилання; §4.3, п.3 застосовано за змістом перевірки посилань.</x:v>
      </x:c>
      <x:c r="F13" s="5" t="str">
        <x:v>Фраза «межі кількості не визначені» надмірна: 1–99 уже встановлено BL-10, BL-20 і BL-40. За ту саму зламану прив'язку не слід створювати другий рядок лише через іншу назву критерію.</x:v>
      </x:c>
      <x:c r="G13" s="5" t="str">
        <x:v>Замінити фрагмент на «Обмеження на кількість одиниць у рядку (від 1 до 99 включно) визначає BL-40». Якщо описано повторне додавання, додатково послатися на BL-20. Зберегти один рядок дефекту з головним критерієм і точним поясненням.</x:v>
      </x:c>
      <x:c r="H13" s="5" t="str">
        <x:v>Підтримати з уточненням</x:v>
      </x:c>
      <x:c r="I13" s="5" t="str">
        <x:v>Правка посилання не потребує вигадування нової вимоги BL-25.</x:v>
      </x:c>
    </x:row>
    <x:row r="14" ht="55.5" customHeight="1">
      <x:c r="A14" s="13" t="str">
        <x:v>AO-08</x:v>
      </x:c>
      <x:c r="B14" s="13" t="str">
        <x:v>F-110 ↔ BL-60, поріг доставки</x:v>
      </x:c>
      <x:c r="C14" s="6" t="str">
        <x:v>TA-08, VP-10
audit_3_5.xlsx / Розд.3 / рядок 12 і Розд.5 / рядок 8, №8; особистий аудит VP-10</x:v>
      </x:c>
      <x:c r="D14" s="6" t="str">
        <x:v>Несуперечливість</x:v>
      </x:c>
      <x:c r="E14" s="6" t="str">
        <x:v>2000 грн у F-110 і 1500 грн у BL-60 дають різні результати для замовлення 1600 грн без знижок. §4.4, п.2 підтверджено текстом.</x:v>
      </x:c>
      <x:c r="F14" s="6" t="str">
        <x:v>Беклог US02, на який посилається перший аудит, не наданий. Поріг і база доставки є окремими рішеннями: посилання F-110 на BL-60 усуває дублювання, але не визначає, які знижки враховує BL-60.</x:v>
      </x:c>
      <x:c r="G14" s="6" t="str">
        <x:v>Погодити один поріг, після чого F-110 посилається на BL-60 замість незалежного повтору числа. Варіант 1500 грн є пропозицією. Питання бази розрахунку вести окремо як AO-15.</x:v>
      </x:c>
      <x:c r="H14" s="6" t="str">
        <x:v>Підтримати з уточненням</x:v>
      </x:c>
      <x:c r="I14" s="6" t="str">
        <x:v>Замовник погоджує поріг; Якимчук фіксує рішення. Не посилатися на неперевірений US02 як на підтвердження.</x:v>
      </x:c>
    </x:row>
    <x:row r="15" ht="82.5" customHeight="1">
      <x:c r="A15" s="12" t="str">
        <x:v>AO-09</x:v>
      </x:c>
      <x:c r="B15" s="12" t="str">
        <x:v>F-110, §2.1, §2.3, інтеграція лояльності</x:v>
      </x:c>
      <x:c r="C15" s="5" t="str">
        <x:v>TA-09
audit_3_5.xlsx / Розд.3 / рядок 12, №9; SRS, вступ на с.1, §1.2 і §2.3</x:v>
      </x:c>
      <x:c r="D15" s="5" t="str">
        <x:v>Уточнення обсягу</x:v>
      </x:c>
      <x:c r="E15" s="5" t="str">
        <x:v>Потрібно відрізнити поведінку поточного demo від цільових вимог до нової функції. План не повинен обіцяти перевірити ще не інтегровану функцію через наявний UI.</x:v>
      </x:c>
      <x:c r="F15" s="5" t="str">
        <x:v>SRS прямо описує поточний продукт і нову функцію; §2.3 окремо пояснює постачання бібліотеки. Сама відсутність інтеграції не доводить суперечність цільовій вимозі. Перенесення функції у версію 1.1 змінює §1.2, де модуль входить до обсягу 1.0; версію інтеграції не задано.</x:v>
      </x:c>
      <x:c r="G15" s="5" t="str">
        <x:v>Не рахувати №9 як доведений дефект несуперечливості на наданому обґрунтуванні. Перенести до питань про межі демонстрації: UI demo перевіряється зараз, бібліотека — окремо, інтеграція — після появи відповідної збірки. Переносити функцію у 1.1 лише за явним рішенням замовника.</x:v>
      </x:c>
      <x:c r="H15" s="5" t="str">
        <x:v>Не рахувати як доведений дефект</x:v>
      </x:c>
      <x:c r="I15" s="5" t="str">
        <x:v>Погодити етап інтеграції та критерії поточної демонстрації; не змінювати roadmap від імені аудитора.</x:v>
      </x:c>
    </x:row>
    <x:row r="16" ht="69" customHeight="1">
      <x:c r="A16" s="13" t="str">
        <x:v>AO-10</x:v>
      </x:c>
      <x:c r="B16" s="13" t="str">
        <x:v>F-120 ↔ GUI-40, §2.1</x:v>
      </x:c>
      <x:c r="C16" s="6" t="str">
        <x:v>TA-10, SD-03, VP-03
audit_3_5.xlsx / Розд.3 / рядок 13, №10; audit-sydorov.xlsx / Аудит Сидорова / рядок 8, SD-03; VP-03</x:v>
      </x:c>
      <x:c r="D16" s="6" t="str">
        <x:v>Несуперечливість</x:v>
      </x:c>
      <x:c r="E16" s="6" t="str">
        <x:v>Одна дія гостя має протилежні результати: додавання або відмова. §4.4, п.2 застосовано правильно.</x:v>
      </x:c>
      <x:c r="F16" s="6" t="str">
        <x:v>Збереження авторизованого обраного узгоджується з §2.1, але остаточну бізнес-політику погоджує замовник. Збіги трьох джерел рахуються один раз.</x:v>
      </x:c>
      <x:c r="G16" s="6" t="str">
        <x:v>Рекомендується зберегти GUI-40 і викласти F-120 із вимогою входу, збереженням My favorites і можливості видалення. Якщо потрібне гостьове обране, описати зберігання і перенесення списку та узгоджено змінити GUI-40 і §2.1.</x:v>
      </x:c>
      <x:c r="H16" s="6" t="str">
        <x:v>Підтримати з уточненням</x:v>
      </x:c>
      <x:c r="I16" s="6" t="str">
        <x:v>Єдине рішення про гостьове обране; збереження джерел авторства під час зведення.</x:v>
      </x:c>
    </x:row>
    <x:row r="17" ht="69" customHeight="1">
      <x:c r="A17" s="12" t="str">
        <x:v>AO-11</x:v>
      </x:c>
      <x:c r="B17" s="12" t="str">
        <x:v>F-140</x:v>
      </x:c>
      <x:c r="C17" s="5" t="str">
        <x:v>TA-11
audit_3_5.xlsx / Розд.3 / рядок 15, I15:J15, №11</x:v>
      </x:c>
      <x:c r="D17" s="5" t="str">
        <x:v>Повнота</x:v>
      </x:c>
      <x:c r="E17" s="5" t="str">
        <x:v>Формат і розмір вкладення та реакція на недопустимий файл не задані. Це конкретний пробіл за §4.3, пп.4–5.</x:v>
      </x:c>
      <x:c r="F17" s="5" t="str">
        <x:v>Саме відсутність верхньої межі повідомлення не доводить дефект: нижню межу можна перевіряти, а верхня може свідомо не обмежуватися. 250 символів, один .txt і 100 КБ — нові запропоновані обмеження, не підтверджені SRS.</x:v>
      </x:c>
      <x:c r="G17" s="5" t="str">
        <x:v>Основне обґрунтування прив'язати до контракту вкладення. Для запропонованих меж указати точну одиницю розміру (наприклад, 100 КіБ = 102400 байт), критерій типу файла та реакцію на порушення. Верхню межу тексту вводити лише після погодження.</x:v>
      </x:c>
      <x:c r="H17" s="5" t="str">
        <x:v>Підтримати з уточненням</x:v>
      </x:c>
      <x:c r="I17" s="5" t="str">
        <x:v>Погодити формат, кількість, розмір вкладення й обмеження довжини, якщо воно потрібне.</x:v>
      </x:c>
    </x:row>
    <x:row r="18" ht="69" customHeight="1">
      <x:c r="A18" s="13" t="str">
        <x:v>AO-12</x:v>
      </x:c>
      <x:c r="B18" s="13" t="str">
        <x:v>GUI-30 ↔ BL-10/20/40</x:v>
      </x:c>
      <x:c r="C18" s="6" t="str">
        <x:v>TA-12, SD-02, VP-02
audit_3_5.xlsx / Розд.5 / рядки 3,4,6, №12; audit-sydorov.xlsx / Аудит Сидорова / рядок 7, SD-02; VP-02</x:v>
      </x:c>
      <x:c r="D18" s="6" t="str">
        <x:v>Несуперечливість</x:v>
      </x:c>
      <x:c r="E18" s="6" t="str">
        <x:v>0–100 у GUI-30 і 1–99 у BL дають несумісні межі. §4.4, п.2 підтверджено.</x:v>
      </x:c>
      <x:c r="F18" s="6" t="str">
        <x:v>Повторення одного №12 у трьох рядках першого аудиту є зв'язками однієї знахідки, а не трьома дефектами. Тексти повідомлень у різних пропозиціях відрізняються.</x:v>
      </x:c>
      <x:c r="G18" s="6" t="str">
        <x:v>Один дефект на узгодження діапазону. Зберегти цілі значення 1–99, початкове 1, захист кнопок і ручного введення, незмінність кошика за помилки та обмеження повторного додавання BL-20. Погодити один текст повідомлення.</x:v>
      </x:c>
      <x:c r="H18" s="6" t="str">
        <x:v>Підтримати з уточненням</x:v>
      </x:c>
      <x:c r="I18" s="6" t="str">
        <x:v>Не дублювати знахідку за кількістю пов'язаних вимог або авторів.</x:v>
      </x:c>
    </x:row>
    <x:row r="19" ht="69" customHeight="1">
      <x:c r="A19" s="12" t="str">
        <x:v>AO-13</x:v>
      </x:c>
      <x:c r="B19" s="12" t="str">
        <x:v>Вступ §5, правило BigDecimal/HALF_UP без ID</x:v>
      </x:c>
      <x:c r="C19" s="5" t="str">
        <x:v>TA-17
audit_3_5.xlsx / Розд.5 / рядок 2, №17; SRS, с.6, вступ розділу 5</x:v>
      </x:c>
      <x:c r="D19" s="5" t="str">
        <x:v>Простежуваність</x:v>
      </x:c>
      <x:c r="E19" s="5" t="str">
        <x:v>Правило типу грошових сум і округлення є нормативним та використовується в перевірках. За вимогою §4.5, п.2 воно потребує стабільного ідентифікатора.</x:v>
      </x:c>
      <x:c r="F19" s="5" t="str">
        <x:v>Не кожен описовий вступний рядок є окремою вимогою. ID потрібен саме нормативному грошовому правилу. Пріоритет High у пропозиції не заданий вихідним вступом і потребує погодження.</x:v>
      </x:c>
      <x:c r="G19" s="5" t="str">
        <x:v>Присвоїти вільний ID BL-05 правилу «Усі грошові суми подаються BigDecimal у гривнях; грошові результати округлюються до двох знаків HALF_UP». Опис пакета та класів залишити вступним контекстом. Пріоритет погодити, інші ID не зсувати.</x:v>
      </x:c>
      <x:c r="H19" s="5" t="str">
        <x:v>Підтримати з уточненням</x:v>
      </x:c>
      <x:c r="I19" s="5" t="str">
        <x:v>Затвердження нового ID і пріоритету; BL-05 не зайнятий у наданій SRS.</x:v>
      </x:c>
    </x:row>
    <x:row r="20" ht="55.5" customHeight="1">
      <x:c r="A20" s="13" t="str">
        <x:v>AO-14</x:v>
      </x:c>
      <x:c r="B20" s="13" t="str">
        <x:v>BL-20 ↔ BL-30</x:v>
      </x:c>
      <x:c r="C20" s="6" t="str">
        <x:v>TA-18, VP-07
audit_3_5.xlsx / Розд.5 / рядки 4–5, №18; VP-07</x:v>
      </x:c>
      <x:c r="D20" s="6" t="str">
        <x:v>Простежуваність</x:v>
      </x:c>
      <x:c r="E20" s="6" t="str">
        <x:v>BL-30 повторює частину повнішої BL-20. §4.5, пп.1,5 застосовано обґрунтовано.</x:v>
      </x:c>
      <x:c r="F20" s="6" t="str">
        <x:v>Повтор одного дефекту у рядках BL-20 та BL-30 не збільшує кількість знахідок. Під час видалення дубля не можна втратити межу 99 й атомарність відмови з BL-20.</x:v>
      </x:c>
      <x:c r="G20" s="6" t="str">
        <x:v>Залишити BL-20 повністю, вилучити BL-30 з журналом змін і збереженням вільного місця в нумерації. Перевірити зовнішні посилання після отримання командних документів.</x:v>
      </x:c>
      <x:c r="H20" s="6" t="str">
        <x:v>Підтримати з уточненням</x:v>
      </x:c>
      <x:c r="I20" s="6" t="str">
        <x:v>Запис у SRS 1.1 та перевірка реальних зовнішніх посилань.</x:v>
      </x:c>
    </x:row>
    <x:row r="21" ht="82.5" customHeight="1">
      <x:c r="A21" s="12" t="str">
        <x:v>AO-15</x:v>
      </x:c>
      <x:c r="B21" s="12" t="str">
        <x:v>BL-60, визначення subtotalAfterDiscount</x:v>
      </x:c>
      <x:c r="C21" s="5" t="str">
        <x:v>TA-19
audit_3_5.xlsx / Розд.5 / рядок 8, №19; порівняти пропозицію VP-10</x:v>
      </x:c>
      <x:c r="D21" s="5" t="str">
        <x:v>Однозначність</x:v>
      </x:c>
      <x:c r="E21" s="5" t="str">
        <x:v>Не визначено, чи база доставки враховує лише знижку за обсяг, чи також промокод. Це окремий від числового порога пробіл за §4.2, п.5.</x:v>
      </x:c>
      <x:c r="F21" s="5" t="str">
        <x:v>Перший аудит пропонує виключити промокод із бази, VP-10 пропонує враховувати обидві знижки. Обидва варіанти не можуть бути прийняті разом. SRS не дозволяє обрати один автоматично.</x:v>
      </x:c>
      <x:c r="G21" s="5" t="str">
        <x:v>Замовник має вибрати один варіант: A — база = subtotal − volumeDiscount; B — база = subtotal − volumeDiscount − promoDiscount. Потім те саме визначення внести до BL-60, термінів і F-110. Для порога 1500 приклад 2100 − 105 = 1995 та промокод 600 дає доставку 0 у варіанті A і 120 у B (база 1395).</x:v>
      </x:c>
      <x:c r="H21" s="5" t="str">
        <x:v>Підтримати з уточненням</x:v>
      </x:c>
      <x:c r="I21" s="5" t="str">
        <x:v>Потрібне окреме бізнес-рішення про врахування промокоду. Не обирати обидві редакції.</x:v>
      </x:c>
    </x:row>
    <x:row r="22" ht="69" customHeight="1">
      <x:c r="A22" s="13" t="str">
        <x:v>AO-16</x:v>
      </x:c>
      <x:c r="B22" s="13" t="str">
        <x:v>BL-70, алфавіт промокоду</x:v>
      </x:c>
      <x:c r="C22" s="6" t="str">
        <x:v>TA-20
audit_3_5.xlsx / Розд.5 / рядок 9, №20; посилання автора на US01</x:v>
      </x:c>
      <x:c r="D22" s="6" t="str">
        <x:v>Повнота — умовна знахідка</x:v>
      </x:c>
      <x:c r="E22" s="6" t="str">
        <x:v>Алфавіт може бути потрібним бізнес-обмеженням; автор посилається на US01 із A–Z і 0–9.</x:v>
      </x:c>
      <x:c r="F22" s="6" t="str">
        <x:v>Беклог US01 не наданий. Правило довжини 6–10 саме по собі не доводить, що інші символи заборонені: вони можуть бути дозволені. Тому факт відсутності обмеження не підтверджує необхідність саме ASCII-алфавіту.</x:v>
      </x:c>
      <x:c r="G22" s="6" t="str">
        <x:v>Отримати точний текст US01 і перевірити його статус/версію. Якщо A–Z/0–9 є погодженим правилом, доповнити BL-70 і реакцію на інші символи. До цього залишити як умовну знахідку або питання, не включати до підтвердженого нормативу.</x:v>
      </x:c>
      <x:c r="H22" s="6" t="str">
        <x:v>Умовно: потрібен беклог</x:v>
      </x:c>
      <x:c r="I22" s="6" t="str">
        <x:v>Потрібен лише відповідний фрагмент US01 або явне рішення замовника.</x:v>
      </x:c>
    </x:row>
    <x:row r="23" ht="69" customHeight="1">
      <x:c r="A23" s="12" t="str">
        <x:v>AO-17</x:v>
      </x:c>
      <x:c r="B23" s="12" t="str">
        <x:v>BL-80, сторонні магазини</x:v>
      </x:c>
      <x:c r="C23" s="5" t="str">
        <x:v>TA-21, VP-11
audit_3_5.xlsx / Розд.5 / рядок 10, №21; VP-11</x:v>
      </x:c>
      <x:c r="D23" s="5" t="str">
        <x:v>Здійсненність</x:v>
      </x:c>
      <x:c r="E23" s="5" t="str">
        <x:v>Перевірка використання коду в усіх сторонніх магазинах не забезпечена реєстром, інтеграціями та правами доступу. §4.6 застосовано обґрунтовано.</x:v>
      </x:c>
      <x:c r="F23" s="5" t="str">
        <x:v>Заміна глобального обліку локальним не визначає момент погашення та поведінку за одночасних замовлень. Розрахунок знижки не слід автоматично прирівнювати до завершеного замовлення.</x:v>
      </x:c>
      <x:c r="G23" s="5" t="str">
        <x:v>Обмежити перевірку локальною ознакою використання в «ШопЛайн», зберегти формулу, BL-70 та відмову для непридатного коду. Окремо погодити, хто й коли фіксує погашення при інтеграції; це не заявляти реалізованим у бібліотеці.</x:v>
      </x:c>
      <x:c r="H23" s="5" t="str">
        <x:v>Підтримати з уточненням</x:v>
      </x:c>
      <x:c r="I23" s="5" t="str">
        <x:v>Погодження локальної області одноразовості та майбутнього життєвого циклу коду.</x:v>
      </x:c>
    </x:row>
    <x:row r="24" ht="55.5" customHeight="1">
      <x:c r="A24" s="13" t="str">
        <x:v>AO-18</x:v>
      </x:c>
      <x:c r="B24" s="13" t="str">
        <x:v>Два GUI-60</x:v>
      </x:c>
      <x:c r="C24" s="6" t="str">
        <x:v>SD-04, VP-04
audit-sydorov.xlsx / Аудит Сидорова / рядок 9, SD-04; VP-04</x:v>
      </x:c>
      <x:c r="D24" s="6" t="str">
        <x:v>Простежуваність</x:v>
      </x:c>
      <x:c r="E24" s="6" t="str">
        <x:v>Дві різні вимоги мають один ID. §4.5, п.2 порушено прямо.</x:v>
      </x:c>
      <x:c r="F24" s="6" t="str">
        <x:v>Не можна механічно замінити всі входження GUI-60: частина посилань стосується входу, інша — реєстрації.</x:v>
      </x:c>
      <x:c r="G24" s="6" t="str">
        <x:v>Залишити GUI-60 для входу, другій вимозі призначити GUI-65, зберегти текст і решту ID. Кожне зовнішнє посилання перевірити за змістом, зміну зафіксувати в журналі.</x:v>
      </x:c>
      <x:c r="H24" s="6" t="str">
        <x:v>Підтримати з уточненням</x:v>
      </x:c>
      <x:c r="I24" s="6" t="str">
        <x:v>Один рядок дефекту на пару; звірити вільний ID із майбутньою SRS 1.1.</x:v>
      </x:c>
    </x:row>
    <x:row r="25" ht="82.5" customHeight="1">
      <x:c r="A25" s="12" t="str">
        <x:v>AO-19</x:v>
      </x:c>
      <x:c r="B25" s="12" t="str">
        <x:v>GUI-80</x:v>
      </x:c>
      <x:c r="C25" s="5" t="str">
        <x:v>SD-05, VP-05
audit-sydorov.xlsx / Аудит Сидорова / рядок 10, SD-05; VP-05</x:v>
      </x:c>
      <x:c r="D25" s="5" t="str">
        <x:v>Здійсненність</x:v>
      </x:c>
      <x:c r="E25" s="5" t="str">
        <x:v>8K без стиснення за 50 мс за будь-якої мережі — нездійсненна універсальна гарантія. §4.6 підтверджено.</x:v>
      </x:c>
      <x:c r="F25" s="5" t="str">
        <x:v>SD-05 пропонує 200/500 КіБ, 1366×900 і ≥95% із 30; VP-05 — 300 КіБ, 1280×800 і 19/20. Це різні пропозиції. Вихідна вимога стосується картки та сторінки товару, отже обидві області слід явно покрити.</x:v>
      </x:c>
      <x:c r="G25" s="5" t="str">
        <x:v>Погодити одну повну редакцію: ліміт ресурсу картки, ліміт ресурсу сторінки товару, середовище, умови мережі, початок/кінець вимірювання й обидва об'єкти перевірки. Для ≥95% із 30 потрібно щонайменше 29 успішних вимірювань; це не помилка арифметики, але краще записати цілу кількість. Усі метрики залишити пропозиціями до погодження.</x:v>
      </x:c>
      <x:c r="H25" s="5" t="str">
        <x:v>Підтримати з уточненням</x:v>
      </x:c>
      <x:c r="I25" s="5" t="str">
        <x:v>Замовник погоджує одну редакцію; кілька аудиторів не створюють кілька дефектів.</x:v>
      </x:c>
    </x:row>
    <x:row r="26" ht="69" customHeight="1">
      <x:c r="A26" s="13" t="str">
        <x:v>AO-20</x:v>
      </x:c>
      <x:c r="B26" s="13" t="str">
        <x:v>GUI-100</x:v>
      </x:c>
      <x:c r="C26" s="6" t="str">
        <x:v>SD-06, VP-06
audit-sydorov.xlsx / Аудит Сидорова / рядок 11, SD-06; VP-06</x:v>
      </x:c>
      <x:c r="D26" s="6" t="str">
        <x:v>Тестопридатність</x:v>
      </x:c>
      <x:c r="E26" s="6" t="str">
        <x:v>«Приємний», «сучасний», «легкий для читання» не мають визначених умов приймання. §4.7 підтверджено.</x:v>
      </x:c>
      <x:c r="F26" s="6" t="str">
        <x:v>У пропозиціях відрізняється масштаб 100%/200% та перелік сторінок. 16 px і 4,5:1 є запропонованими межами, не емпіричною гарантією загальної зручності чи естетики.</x:v>
      </x:c>
      <x:c r="G26" s="6" t="str">
        <x:v>Погодити один набір сторінок, основний розмір тексту, контраст і перевірку обрізання при зазначеному масштабі. Суб'єктивну оцінку дизайну, якщо вона потрібна, приймати окремо за погодженим зразком; не посилатися на відсутній макет як на наявний документ.</x:v>
      </x:c>
      <x:c r="H26" s="6" t="str">
        <x:v>Підтримати з уточненням</x:v>
      </x:c>
      <x:c r="I26" s="6" t="str">
        <x:v>Єдина редакція та підтвердження візуальних критеріїв замовником.</x:v>
      </x:c>
    </x:row>
    <x:row r="27" ht="69" customHeight="1">
      <x:c r="A27" s="12" t="str">
        <x:v>AO-21</x:v>
      </x:c>
      <x:c r="B27" s="12" t="str">
        <x:v>P-10</x:v>
      </x:c>
      <x:c r="C27" s="5" t="str">
        <x:v>SD-07
audit-sydorov.xlsx / Аудит Сидорова / рядок 12, SD-07</x:v>
      </x:c>
      <x:c r="D27" s="5" t="str">
        <x:v>Здійсненність</x:v>
      </x:c>
      <x:c r="E27" s="5" t="str">
        <x:v>0,1 с на будь-якому пристрої й за будь-якої мережі не забезпечується ресурсами продукту. §4.6 підтверджено.</x:v>
      </x:c>
      <x:c r="F27" s="5" t="str">
        <x:v>3 с, параметри стенда й ≥95% із 30 — нові пропозиції. Потрібно погодити, що саме означає «каталог повністю завантажений»; самої назви події недостатньо як визначення бізнес-готовності.</x:v>
      </x:c>
      <x:c r="G27" s="5" t="str">
        <x:v>Погодити стенд і метрику завершення завантаження каталогу, записувати версію збірки та середовища. Якщо обрано ≥95% із 30, записати вимогу як щонайменше 29 успішних запусків. Не заявляти ці показники фактично виміряними.</x:v>
      </x:c>
      <x:c r="H27" s="5" t="str">
        <x:v>Підтримати з уточненням</x:v>
      </x:c>
      <x:c r="I27" s="5" t="str">
        <x:v>Погоджені метрика і числові межі; фактичне вимірювання ще не виконане.</x:v>
      </x:c>
    </x:row>
    <x:row r="28" ht="69" customHeight="1">
      <x:c r="A28" s="13" t="str">
        <x:v>AO-22</x:v>
      </x:c>
      <x:c r="B28" s="13" t="str">
        <x:v>S-10</x:v>
      </x:c>
      <x:c r="C28" s="6" t="str">
        <x:v>SD-08
audit-sydorov.xlsx / Аудит Сидорова / рядок 13, SD-08</x:v>
      </x:c>
      <x:c r="D28" s="6" t="str">
        <x:v>Тестопридатність</x:v>
      </x:c>
      <x:c r="E28" s="6" t="str">
        <x:v>Абсолютне «не містить вразливостей» і невизначене «надійно захищені» не дають перевірюваних меж. §4.7 застосовано обґрунтовано.</x:v>
      </x:c>
      <x:c r="F28" s="6" t="str">
        <x:v>Запропонована перевірка доступу до чужих даних покриває лише один аспект безпеки. Вона не дорівнює всьому початковому наміру S-10. Перелік «401/403 або redirect» без розділення ситуацій залишає слабкий оракул.</x:v>
      </x:c>
      <x:c r="G28" s="6" t="str">
        <x:v>Погодити конкретний обсяг S-10 і розділити очікувані результати для запиту без входу, запиту користувача до чужих даних, UI та API. Зберегти відсутність розкриття/зміни чужих даних як обов'язковий результат. Інші аспекти безпеки не вважати автоматично перевіреними або вилученими.</x:v>
      </x:c>
      <x:c r="H28" s="6" t="str">
        <x:v>Підтримати з уточненням</x:v>
      </x:c>
      <x:c r="I28" s="6" t="str">
        <x:v>Замовник погоджує обсяг безпеки; тестові акаунти й API-контракт перевіряються окремо.</x:v>
      </x:c>
    </x:row>
    <x:row r="29" ht="69" customHeight="1">
      <x:c r="A29" s="12" t="str">
        <x:v>AO-23</x:v>
      </x:c>
      <x:c r="B29" s="12" t="str">
        <x:v>U-10</x:v>
      </x:c>
      <x:c r="C29" s="5" t="str">
        <x:v>SD-09
audit-sydorov.xlsx / Аудит Сидорова / рядок 14, SD-09</x:v>
      </x:c>
      <x:c r="D29" s="5" t="str">
        <x:v>Тестопридатність</x:v>
      </x:c>
      <x:c r="E29" s="5" t="str">
        <x:v>Не задано задач, користувачів і критеріїв успіху, а «для всіх» не перевіряється скінченним дослідом. §4.7 підтримано.</x:v>
      </x:c>
      <x:c r="F29" s="5" t="str">
        <x:v>4 із 5, 5 хв і склад учасників є проєктними пропозиціями. Результат невеликої групи не можна оголошувати доведенням зручності для всіх категорій.</x:v>
      </x:c>
      <x:c r="G29" s="5" t="str">
        <x:v>Уточнити роль і вихідний стан учасників, наявність тестового облікового запису або включення реєстрації в сценарій, початок/кінець відліку та критерій завершення умовної оплати. Після погодження зберегти скінченний критерій 4/5 за 5 хв як критерій приймання цього сценарію.</x:v>
      </x:c>
      <x:c r="H29" s="5" t="str">
        <x:v>Підтримати з уточненням</x:v>
      </x:c>
      <x:c r="I29" s="5" t="str">
        <x:v>Погодження вибірки, сценарію, меж часу та передумов.</x:v>
      </x:c>
    </x:row>
    <x:row r="30" ht="55.5" customHeight="1">
      <x:c r="A30" s="13" t="str">
        <x:v>AO-24</x:v>
      </x:c>
      <x:c r="B30" s="13" t="str">
        <x:v>§6, рядок про 375 px без ID</x:v>
      </x:c>
      <x:c r="C30" s="6" t="str">
        <x:v>SD-10
audit-sydorov.xlsx / Аудит Сидорова / рядок 15, SD-10; SRS, с.7</x:v>
      </x:c>
      <x:c r="D30" s="6" t="str">
        <x:v>Простежуваність</x:v>
      </x:c>
      <x:c r="E30" s="6" t="str">
        <x:v>Нормативна вимога до ширини 375 px не має ID. §4.5, п.2 підтверджено.</x:v>
      </x:c>
      <x:c r="F30" s="6" t="str">
        <x:v>Наявність відсутнього ID не слід змішувати з окремим питанням про desktop-обсяг §2.2. Той самий рядок не стає двома дефектами без різних обґрунтувань і правок.</x:v>
      </x:c>
      <x:c r="G30" s="6" t="str">
        <x:v>Надати вільний ID U-30, не змінюючи текст і пріоритет Medium. Узгодити область підтримки ширини 375 px окремим питанням, якщо це впливає на план. Не плутати адаптивність вебсторінки з окремим мобільним застосунком.</x:v>
      </x:c>
      <x:c r="H30" s="6" t="str">
        <x:v>Підтримати з уточненням</x:v>
      </x:c>
      <x:c r="I30" s="6" t="str">
        <x:v>ID звірити з майбутньою SRS 1.1; зміна інших номерів не потрібна.</x:v>
      </x:c>
    </x:row>
    <x:row r="31" ht="69" customHeight="1">
      <x:c r="A31" s="12" t="str">
        <x:v>AO-25</x:v>
      </x:c>
      <x:c r="B31" s="12" t="str">
        <x:v>D-10, зовнішній регламент</x:v>
      </x:c>
      <x:c r="C31" s="5" t="str">
        <x:v>SD-11
audit-sydorov.xlsx / Аудит Сидорова / рядок 16, SD-11; SRS, с.7, D-10 і §1.4</x:v>
      </x:c>
      <x:c r="D31" s="5" t="str">
        <x:v>Повнота — умовна знахідка</x:v>
      </x:c>
      <x:c r="E31" s="5" t="str">
        <x:v>Регламент не наданий і не має доступної прив'язки у §1.4. Це реальна залежність для перевірки документації.</x:v>
      </x:c>
      <x:c r="F31" s="5" t="str">
        <x:v>Відсутність у наданому комплекті не доводить, що регламент не існує. §4.3, п.3 говорить про неіснуючі об'єкти посилань. Вилучення зовнішнього регламенту може змінити нормативне джерело бізнес-правил.</x:v>
      </x:c>
      <x:c r="G31" s="5" t="str">
        <x:v>Запросити точний регламент, його версію та посилання. Якщо він існує — виправити доступність посилання. Якщо замовник підтвердить його відсутність/незастосовність — погодити заміну джерела на SRS. До цього не оголошувати доведеним факт неіснування документа.</x:v>
      </x:c>
      <x:c r="H31" s="5" t="str">
        <x:v>Умовно: потрібен регламент</x:v>
      </x:c>
      <x:c r="I31" s="5" t="str">
        <x:v>Достатньо рішення замовника про статус документа або його конкретного посилання/версії.</x:v>
      </x:c>
    </x:row>
    <x:row r="32" ht="69" customHeight="1">
      <x:c r="A32" s="13" t="str">
        <x:v>AO-26</x:v>
      </x:c>
      <x:c r="B32" s="13" t="str">
        <x:v>BL-50</x:v>
      </x:c>
      <x:c r="C32" s="6" t="str">
        <x:v>VP-08
Особистий аудит Петренка VP-08; SRS, с.6, BL-50</x:v>
      </x:c>
      <x:c r="D32" s="6" t="str">
        <x:v>Однозначність</x:v>
      </x:c>
      <x:c r="E32" s="6" t="str">
        <x:v>Пороги «від 2000», «від 5000», «від 10000» не містять явного правила вибору єдиного інтервалу. Неперетинні діапазони усувають ризик різних реалізацій за §4.2, пп.1,4.</x:v>
      </x:c>
      <x:c r="F32" s="6" t="str">
        <x:v>Попередній аргумент про додавання відсотків треба звузити: SRS вже перелічує допустимі результати volumeDiscountPercent як 0,5,10,15, тож 30% не є сумісною альтернативою для цього методу. Знахідка стосується вибору порога, не доведеної помилки реалізації.</x:v>
      </x:c>
      <x:c r="G32" s="6" t="str">
        <x:v>Задати 0≤s&lt;2000:0%; 2000≤s&lt;5000:5%; 5000≤s&lt;10000:10%; s≥10000:15%. В обґрунтуванні залишити лише відсутнє правило вибору одного порога; код не перевірявся. Редакцію погодити як уточнення задуманих діапазонів.</x:v>
      </x:c>
      <x:c r="H32" s="6" t="str">
        <x:v>Підтримати з уточненням</x:v>
      </x:c>
      <x:c r="I32" s="6" t="str">
        <x:v>Уточнення аргументу внесено до власного файла; затвердження SRS залишається за командою.</x:v>
      </x:c>
    </x:row>
    <x:row r="33" ht="69" customHeight="1">
      <x:c r="A33" s="12" t="str">
        <x:v>AO-27</x:v>
      </x:c>
      <x:c r="B33" s="12" t="str">
        <x:v>BL-70 ↔ BL-80, некоректні аргументи</x:v>
      </x:c>
      <x:c r="C33" s="5" t="str">
        <x:v>VP-09
Особистий аудит Петренка VP-09; SRS, с.6, BL-70/80; посилання §1.4 на README модуля</x:v>
      </x:c>
      <x:c r="D33" s="5" t="str">
        <x:v>Повнота</x:v>
      </x:c>
      <x:c r="E33" s="5" t="str">
        <x:v>Для відсоткового коду не визначено реакцію на від'ємний subtotal, а формула apply дає від'ємну знижку. Реакція на null-аргументи також не задана в SRS. §4.3, пп.4–5 застосовний до цього контракту.</x:v>
      </x:c>
      <x:c r="F33" s="5" t="str">
        <x:v>README і код модуля не надані; вони можуть містити загальну політику аргументів. Вибір IllegalArgumentException є пропозицією. Це інша знахідка, ніж непідтверджений алфавіт у TA-20.</x:v>
      </x:c>
      <x:c r="G33" s="5" t="str">
        <x:v>Явно визначити subtotal≥0, політику null і реакцію validate/apply в SRS або через точне нормативне посилання на наданий контракт. Зберегти наявні умови придатності промокоду. Погодити вид помилки перед формуванням очікуваних результатів тестів.</x:v>
      </x:c>
      <x:c r="H33" s="5" t="str">
        <x:v>Підтримати з уточненням</x:v>
      </x:c>
      <x:c r="I33" s="5" t="str">
        <x:v>Звірити з контрактом модуля перед остаточним прийняттям; запуск Java-коду не проводився.</x:v>
      </x:c>
    </x:row>
    <x:row r="34" ht="18" customHeight="1">
      <x:c r="A34" s="2"/>
      <x:c r="B34" s="2"/>
      <x:c r="C34" s="2"/>
      <x:c r="D34" s="2"/>
      <x:c r="E34" s="2"/>
      <x:c r="F34" s="2"/>
      <x:c r="G34" s="2"/>
      <x:c r="H34" s="2"/>
      <x:c r="I34" s="2"/>
    </x:row>
    <x:row r="35" ht="18" customHeight="1">
      <x:c r="A35" s="2"/>
      <x:c r="B35" s="2"/>
      <x:c r="C35" s="2"/>
      <x:c r="D35" s="2"/>
      <x:c r="E35" s="2"/>
      <x:c r="F35" s="2"/>
      <x:c r="G35" s="2"/>
      <x:c r="H35" s="2"/>
      <x:c r="I35" s="2"/>
    </x:row>
    <x:row r="36" ht="31.5" customHeight="1">
      <x:c r="A36" s="2"/>
      <x:c r="B36" s="2"/>
      <x:c r="C36" s="11" t="str">
        <x:v>Результат зіставлення</x:v>
      </x:c>
      <x:c r="D36" s="11" t="str">
        <x:v>Кількість</x:v>
      </x:c>
      <x:c r="E36" s="2"/>
      <x:c r="F36" s="2"/>
      <x:c r="G36" s="2"/>
      <x:c r="H36" s="2"/>
      <x:c r="I36" s="2"/>
    </x:row>
    <x:row r="37" ht="18" customHeight="1">
      <x:c r="A37" s="2"/>
      <x:c r="B37" s="2"/>
      <x:c r="C37" s="2" t="str">
        <x:v>Окремих питань</x:v>
      </x:c>
      <x:c r="D37" s="2" t="n">
        <x:f>COUNTA(A7:A33)</x:f>
        <x:v>27</x:v>
      </x:c>
      <x:c r="E37" s="2"/>
      <x:c r="F37" s="2"/>
      <x:c r="G37" s="2"/>
      <x:c r="H37" s="2"/>
      <x:c r="I37" s="2"/>
    </x:row>
    <x:row r="38" ht="18" customHeight="1">
      <x:c r="A38" s="2"/>
      <x:c r="B38" s="2"/>
      <x:c r="C38" s="2" t="str">
        <x:v>Підтримати з уточненням</x:v>
      </x:c>
      <x:c r="D38" s="2" t="n">
        <x:f>COUNTIFS(H7:H33,"Підтримати з уточненням")</x:f>
        <x:v>24</x:v>
      </x:c>
      <x:c r="E38" s="2"/>
      <x:c r="F38" s="2"/>
      <x:c r="G38" s="2"/>
      <x:c r="H38" s="2"/>
      <x:c r="I38" s="2"/>
    </x:row>
    <x:row r="39" ht="18" customHeight="1">
      <x:c r="A39" s="2"/>
      <x:c r="B39" s="2"/>
      <x:c r="C39" s="2" t="str">
        <x:v>Умовних</x:v>
      </x:c>
      <x:c r="D39" s="2" t="n">
        <x:f>COUNTIFS(H7:H33,"Умовно: потрібен беклог")+COUNTIFS(H7:H33,"Умовно: потрібен регламент")</x:f>
        <x:v>2</x:v>
      </x:c>
      <x:c r="E39" s="2"/>
      <x:c r="F39" s="2"/>
      <x:c r="G39" s="2"/>
      <x:c r="H39" s="2"/>
      <x:c r="I39" s="2"/>
    </x:row>
    <x:row r="40" ht="18" customHeight="1">
      <x:c r="A40" s="2"/>
      <x:c r="B40" s="2"/>
      <x:c r="C40" s="2" t="str">
        <x:v>Не рахувати як доведений дефект</x:v>
      </x:c>
      <x:c r="D40" s="2" t="n">
        <x:f>COUNTIFS(H7:H33,"Не рахувати як доведений дефект")</x:f>
        <x:v>1</x:v>
      </x:c>
      <x:c r="E40" s="2"/>
      <x:c r="F40" s="2"/>
      <x:c r="G40" s="2"/>
      <x:c r="H40" s="2"/>
      <x:c r="I40" s="2"/>
    </x:row>
    <x:row r="41" ht="18" customHeight="1">
      <x:c r="A41" s="2"/>
      <x:c r="B41" s="2"/>
      <x:c r="C41" s="2" t="str">
        <x:v>Рядків для погодження на аркуші «Спірні»</x:v>
      </x:c>
      <x:c r="D41" s="2" t="n">
        <x:f>COUNTA('Спірні'!A7:A21)</x:f>
        <x:v>15</x:v>
      </x:c>
      <x:c r="E41" s="2"/>
      <x:c r="F41" s="2"/>
      <x:c r="G41" s="2"/>
      <x:c r="H41" s="2"/>
      <x:c r="I41" s="2"/>
    </x:row>
    <x:row r="42" ht="18" customHeight="1">
      <x:c r="A42" s="2"/>
      <x:c r="B42" s="2"/>
      <x:c r="C42" s="2"/>
      <x:c r="D42" s="2"/>
      <x:c r="E42" s="2"/>
      <x:c r="F42" s="2"/>
      <x:c r="G42" s="2"/>
      <x:c r="H42" s="2"/>
      <x:c r="I42" s="2"/>
    </x:row>
    <x:row r="43" ht="18" customHeight="1">
      <x:c r="A43" s="2"/>
      <x:c r="B43" s="2"/>
      <x:c r="C43" s="2"/>
      <x:c r="D43" s="2"/>
      <x:c r="E43" s="2"/>
      <x:c r="F43" s="2"/>
      <x:c r="G43" s="2"/>
      <x:c r="H43" s="2"/>
      <x:c r="I43" s="2"/>
    </x:row>
    <x:row r="44" ht="18" customHeight="1">
      <x:c r="A44" s="2"/>
      <x:c r="B44" s="2"/>
      <x:c r="C44" s="2"/>
      <x:c r="D44" s="2"/>
      <x:c r="E44" s="2"/>
      <x:c r="F44" s="2"/>
      <x:c r="G44" s="2"/>
      <x:c r="H44" s="2"/>
      <x:c r="I44" s="2"/>
    </x:row>
    <x:row r="45" ht="18" customHeight="1">
      <x:c r="A45" s="2"/>
      <x:c r="B45" s="2"/>
      <x:c r="C45" s="2"/>
      <x:c r="D45" s="2"/>
      <x:c r="E45" s="2"/>
      <x:c r="F45" s="2"/>
      <x:c r="G45" s="2"/>
      <x:c r="H45" s="2"/>
      <x:c r="I45" s="2"/>
    </x:row>
  </x:sheetData>
  <x:conditionalFormatting sqref="H7:H33">
    <x:cfRule type="containsText" dxfId="0" priority="1" operator="containsText" text="Умовно"/>
    <x:cfRule type="containsText" dxfId="1" priority="2" operator="containsText" text="Не рахувати"/>
  </x:conditionalFormatting>
  <x:pageMargins left="0.7" right="0.7" top="0.75" bottom="0.75" header="0.3" footer="0.3"/>
  <x:tableParts count="1">
    <x:tablePart xmlns:r="http://schemas.openxmlformats.org/officeDocument/2006/relationships" r:id="R85414f846c144ae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.5600004196167" hidden="0" customWidth="1"/>
    <x:col min="2" max="2" width="27.780000686645508" hidden="0" customWidth="1"/>
    <x:col min="3" max="3" width="50" hidden="0" customWidth="1"/>
    <x:col min="4" max="4" width="56.66999816894531" hidden="0" customWidth="1"/>
    <x:col min="5" max="5" width="56.66999816894531" hidden="0" customWidth="1"/>
    <x:col min="6" max="6" width="62.220001220703125" hidden="0" customWidth="1"/>
    <x:col min="7" max="7" width="28.889999389648438" hidden="0" customWidth="1"/>
    <x:col min="8" max="8" width="45.560001373291016" hidden="0" customWidth="1"/>
  </x:cols>
  <x:sheetData>
    <x:row r="1" ht="18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Спірні питання та позиція аудитора-опонента</x:v>
      </x:c>
      <x:c r="B2" s="2"/>
      <x:c r="C2" s="2"/>
      <x:c r="D2" s="2"/>
      <x:c r="E2" s="2"/>
      <x:c r="F2" s="2"/>
      <x:c r="G2" s="2"/>
      <x:c r="H2" s="2"/>
    </x:row>
    <x:row r="3" ht="18" customHeight="1">
      <x:c r="A3" s="2" t="str">
        <x:v>Петренко Валентин. Позиції АО підготовлені; обговорення та остаточні рішення КТ не підтверджені.</x:v>
      </x:c>
      <x:c r="B3" s="2"/>
      <x:c r="C3" s="2"/>
      <x:c r="D3" s="2"/>
      <x:c r="E3" s="2"/>
      <x:c r="F3" s="2"/>
      <x:c r="G3" s="2"/>
      <x:c r="H3" s="2"/>
    </x:row>
    <x:row r="4" ht="18" customHeight="1">
      <x:c r="A4" s="2" t="str">
        <x:v>Прив’язки до наданих аркушів — на аркуші «Перевірка знахідок». Після зведення додати остаточні номери спільного реєстру.</x:v>
      </x:c>
      <x:c r="B4" s="2"/>
      <x:c r="C4" s="2"/>
      <x:c r="D4" s="2"/>
      <x:c r="E4" s="2"/>
      <x:c r="F4" s="2"/>
      <x:c r="G4" s="2"/>
      <x:c r="H4" s="2"/>
    </x:row>
    <x:row r="5" ht="18" customHeight="1">
      <x:c r="A5" s="2" t="str">
        <x:v>«Не погоджено» означає відсутність отриманого рішення. Аргументи є аналітичним розбором АО, а не вигаданими репліками учасників.</x:v>
      </x:c>
      <x:c r="B5" s="2"/>
      <x:c r="C5" s="2"/>
      <x:c r="D5" s="2"/>
      <x:c r="E5" s="2"/>
      <x:c r="F5" s="2"/>
      <x:c r="G5" s="2"/>
      <x:c r="H5" s="2"/>
    </x:row>
    <x:row r="6" ht="31.5" customHeight="1">
      <x:c r="A6" s="11" t="str">
        <x:v>ID АО</x:v>
      </x:c>
      <x:c r="B6" s="11" t="str">
        <x:v>Вимога / питання</x:v>
      </x:c>
      <x:c r="C6" s="11" t="str">
        <x:v>Локальні посилання джерел</x:v>
      </x:c>
      <x:c r="D6" s="11" t="str">
        <x:v>Аргумент за визнання дефекту</x:v>
      </x:c>
      <x:c r="E6" s="11" t="str">
        <x:v>Аргумент проти / ризик правки</x:v>
      </x:c>
      <x:c r="F6" s="11" t="str">
        <x:v>Позиція АО та запропонована дія</x:v>
      </x:c>
      <x:c r="G6" s="11" t="str">
        <x:v>Рішення КТ / замовника</x:v>
      </x:c>
      <x:c r="H6" s="11" t="str">
        <x:v>Потрібне рішення / дані</x:v>
      </x:c>
    </x:row>
    <x:row r="7" ht="82.5" customHeight="1">
      <x:c r="A7" s="12" t="str">
        <x:v>AO-01</x:v>
      </x:c>
      <x:c r="B7" s="12" t="str">
        <x:v>F-10</x:v>
      </x:c>
      <x:c r="C7" s="5" t="str">
        <x:v>TA-01</x:v>
      </x:c>
      <x:c r="D7" s="5" t="str">
        <x:v>SRS перелічує поля реєстрації, але не задає формати частини даних. За §4.3, пп.4–5, це підстава уточнити відповідні допустимі входи й помилки.</x:v>
      </x:c>
      <x:c r="E7" s="5" t="str">
        <x:v>Твердження «негативні тест-кейси побудувати неможливо» надто широке: для пароля вже задані обмеження, а GUI-50 задає загальне блокування помилкової форми. Вік 18+, телефон 9–15 цифр та перелік спецсимволів є новими правилами, а не знайденими фактами.</x:v>
      </x:c>
      <x:c r="F7" s="5" t="str">
        <x:v>Підтримати з уточненням. Звузити опис до конкретно відсутніх форматів і реакцій. Погодити допустимі формати дати й телефону, політику дубліката email та допустимі спецсимволи. Вікове обмеження вводити лише за окремим рішенням замовника; не робити його обов'язковим виправленням технічного пробілу.</x:v>
      </x:c>
      <x:c r="G7" s="14" t="str">
        <x:v>Не погоджено</x:v>
      </x:c>
      <x:c r="H7" s="5" t="str">
        <x:v>Замовник погоджує нові обмеження; частину загальних помилок уже покриває GUI-50.</x:v>
      </x:c>
    </x:row>
    <x:row r="8" ht="69" customHeight="1">
      <x:c r="A8" s="13" t="str">
        <x:v>AO-02</x:v>
      </x:c>
      <x:c r="B8" s="13" t="str">
        <x:v>F-20</x:v>
      </x:c>
      <x:c r="C8" s="6" t="str">
        <x:v>TA-02</x:v>
      </x:c>
      <x:c r="D8" s="6" t="str">
        <x:v>«На відповідну сторінку» не визначає результат перенаправлення. Порушено §4.2, пп.2,4.</x:v>
      </x:c>
      <x:c r="E8" s="6" t="str">
        <x:v>Позначка «Поведінка за demo» не супроводжується спостереженням, датою або доказом. Вхід у demo в цьому рев'ю не виконувався.</x:v>
      </x:c>
      <x:c r="F8" s="6" t="str">
        <x:v>Підтримати з уточненням. Підтримати конкретизацію: звичайний вхід веде на «My account», вхід під час checkout — на «Billing Address», якщо це погоджена цільова поведінка. До перевірки замінити «Поведінка за demo» на «Запропонована поведінка, потребує підтвердження».</x:v>
      </x:c>
      <x:c r="G8" s="14" t="str">
        <x:v>Не погоджено</x:v>
      </x:c>
      <x:c r="H8" s="6" t="str">
        <x:v>Підтвердження замовника або окремо зафіксоване спостереження поточного demo.</x:v>
      </x:c>
    </x:row>
    <x:row r="9" ht="69" customHeight="1">
      <x:c r="A9" s="12" t="str">
        <x:v>AO-04</x:v>
      </x:c>
      <x:c r="B9" s="12" t="str">
        <x:v>F-40 ↔ GUI-20</x:v>
      </x:c>
      <x:c r="C9" s="5" t="str">
        <x:v>TA-04, SD-01, VP-01</x:v>
      </x:c>
      <x:c r="D9" s="5" t="str">
        <x:v>9 карток у F-40 і 12 у GUI-20 є прямою суперечністю за §4.4, п.2.</x:v>
      </x:c>
      <x:c r="E9" s="5" t="str">
        <x:v>Посилання на «легенду каталогу і demo» у першому аудиті не перевірено: легенду не надано, UI не запускався. Збіг трьох аудиторів не робить число 9 автоматично затвердженим.</x:v>
      </x:c>
      <x:c r="F9" s="5" t="str">
        <x:v>Підтримати з уточненням. Об'єднати три джерела в один дефект. Погодити 9 або 12; якщо 9 — застосувати редакцію з 9 картками на повній сторінці, меншою кількістю на останній і збереженням усіх властивостей картки. Якщо 12 — узгоджено змінити F-40.</x:v>
      </x:c>
      <x:c r="G9" s="14" t="str">
        <x:v>Не погоджено</x:v>
      </x:c>
      <x:c r="H9" s="5" t="str">
        <x:v>Одне рішення щодо кількості карток; підтвердження авторства першого файла.</x:v>
      </x:c>
    </x:row>
    <x:row r="10" ht="82.5" customHeight="1">
      <x:c r="A10" s="13" t="str">
        <x:v>AO-06</x:v>
      </x:c>
      <x:c r="B10" s="13" t="str">
        <x:v>F-90</x:v>
      </x:c>
      <x:c r="C10" s="6" t="str">
        <x:v>TA-06</x:v>
      </x:c>
      <x:c r="D10" s="6" t="str">
        <x:v>«Миттєво і без помилок» не задає скінченного однозначного критерію успіху. Підтримати §4.7.</x:v>
      </x:c>
      <x:c r="E10" s="6" t="str">
        <x:v>Проста заміна «миттєво» на 2 с без умов мережі й початку/кінця вимірювання може залишити невідтворювану гарантію. Правило 99 треба узгодити з поточним UI та майбутньою інтеграцією BL.</x:v>
      </x:c>
      <x:c r="F10" s="6" t="str">
        <x:v>Підтримати з уточненням. Описати спостережуваний результат: товар додається один раз, повторний SKU збільшує кількість, при перевищенні погодженої межі кошик не змінюється. Для порога 2 с визначити контрольну мережу, стенд і інтервал від дії до підтвердженого оновлення UI. Позначити їх як пропозицію до погодження.</x:v>
      </x:c>
      <x:c r="G10" s="14" t="str">
        <x:v>Не погоджено</x:v>
      </x:c>
      <x:c r="H10" s="6" t="str">
        <x:v>Погодження умов часу та розмежування поточного demo/майбутньої інтеграції.</x:v>
      </x:c>
    </x:row>
    <x:row r="11" ht="55.5" customHeight="1">
      <x:c r="A11" s="12" t="str">
        <x:v>AO-08</x:v>
      </x:c>
      <x:c r="B11" s="12" t="str">
        <x:v>F-110 ↔ BL-60, поріг доставки</x:v>
      </x:c>
      <x:c r="C11" s="5" t="str">
        <x:v>TA-08, VP-10</x:v>
      </x:c>
      <x:c r="D11" s="5" t="str">
        <x:v>2000 грн у F-110 і 1500 грн у BL-60 дають різні результати для замовлення 1600 грн без знижок. §4.4, п.2 підтверджено текстом.</x:v>
      </x:c>
      <x:c r="E11" s="5" t="str">
        <x:v>Беклог US02, на який посилається перший аудит, не наданий. Поріг і база доставки є окремими рішеннями: посилання F-110 на BL-60 усуває дублювання, але не визначає, які знижки враховує BL-60.</x:v>
      </x:c>
      <x:c r="F11" s="5" t="str">
        <x:v>Підтримати з уточненням. Погодити один поріг, після чого F-110 посилається на BL-60 замість незалежного повтору числа. Варіант 1500 грн є пропозицією. Питання бази розрахунку вести окремо як AO-15.</x:v>
      </x:c>
      <x:c r="G11" s="14" t="str">
        <x:v>Не погоджено</x:v>
      </x:c>
      <x:c r="H11" s="5" t="str">
        <x:v>Замовник погоджує поріг; Якимчук фіксує рішення. Не посилатися на неперевірений US02 як на підтвердження.</x:v>
      </x:c>
    </x:row>
    <x:row r="12" ht="82.5" customHeight="1">
      <x:c r="A12" s="13" t="str">
        <x:v>AO-09</x:v>
      </x:c>
      <x:c r="B12" s="13" t="str">
        <x:v>F-110, §2.1, §2.3, інтеграція лояльності</x:v>
      </x:c>
      <x:c r="C12" s="6" t="str">
        <x:v>TA-09</x:v>
      </x:c>
      <x:c r="D12" s="6" t="str">
        <x:v>Потрібно відрізнити поведінку поточного demo від цільових вимог до нової функції. План не повинен обіцяти перевірити ще не інтегровану функцію через наявний UI.</x:v>
      </x:c>
      <x:c r="E12" s="6" t="str">
        <x:v>SRS прямо описує поточний продукт і нову функцію; §2.3 окремо пояснює постачання бібліотеки. Сама відсутність інтеграції не доводить суперечність цільовій вимозі. Перенесення функції у версію 1.1 змінює §1.2, де модуль входить до обсягу 1.0; версію інтеграції не задано.</x:v>
      </x:c>
      <x:c r="F12" s="6" t="str">
        <x:v>Не рахувати як доведений дефект. Не рахувати №9 як доведений дефект несуперечливості на наданому обґрунтуванні. Перенести до питань про межі демонстрації: UI demo перевіряється зараз, бібліотека — окремо, інтеграція — після появи відповідної збірки. Переносити функцію у 1.1 лише за явним рішенням замовника.</x:v>
      </x:c>
      <x:c r="G12" s="14" t="str">
        <x:v>Не погоджено</x:v>
      </x:c>
      <x:c r="H12" s="6" t="str">
        <x:v>Погодити етап інтеграції та критерії поточної демонстрації; не змінювати roadmap від імені аудитора.</x:v>
      </x:c>
    </x:row>
    <x:row r="13" ht="69" customHeight="1">
      <x:c r="A13" s="12" t="str">
        <x:v>AO-13</x:v>
      </x:c>
      <x:c r="B13" s="12" t="str">
        <x:v>Вступ §5, правило BigDecimal/HALF_UP без ID</x:v>
      </x:c>
      <x:c r="C13" s="5" t="str">
        <x:v>TA-17</x:v>
      </x:c>
      <x:c r="D13" s="5" t="str">
        <x:v>Правило типу грошових сум і округлення є нормативним та використовується в перевірках. За вимогою §4.5, п.2 воно потребує стабільного ідентифікатора.</x:v>
      </x:c>
      <x:c r="E13" s="5" t="str">
        <x:v>Не кожен описовий вступний рядок є окремою вимогою. ID потрібен саме нормативному грошовому правилу. Пріоритет High у пропозиції не заданий вихідним вступом і потребує погодження.</x:v>
      </x:c>
      <x:c r="F13" s="5" t="str">
        <x:v>Підтримати з уточненням. Присвоїти вільний ID BL-05 правилу «Усі грошові суми подаються BigDecimal у гривнях; грошові результати округлюються до двох знаків HALF_UP». Опис пакета та класів залишити вступним контекстом. Пріоритет погодити, інші ID не зсувати.</x:v>
      </x:c>
      <x:c r="G13" s="14" t="str">
        <x:v>Не погоджено</x:v>
      </x:c>
      <x:c r="H13" s="5" t="str">
        <x:v>Затвердження нового ID і пріоритету; BL-05 не зайнятий у наданій SRS.</x:v>
      </x:c>
    </x:row>
    <x:row r="14" ht="82.5" customHeight="1">
      <x:c r="A14" s="13" t="str">
        <x:v>AO-15</x:v>
      </x:c>
      <x:c r="B14" s="13" t="str">
        <x:v>BL-60, визначення subtotalAfterDiscount</x:v>
      </x:c>
      <x:c r="C14" s="6" t="str">
        <x:v>TA-19</x:v>
      </x:c>
      <x:c r="D14" s="6" t="str">
        <x:v>Не визначено, чи база доставки враховує лише знижку за обсяг, чи також промокод. Це окремий від числового порога пробіл за §4.2, п.5.</x:v>
      </x:c>
      <x:c r="E14" s="6" t="str">
        <x:v>Перший аудит пропонує виключити промокод із бази, VP-10 пропонує враховувати обидві знижки. Обидва варіанти не можуть бути прийняті разом. SRS не дозволяє обрати один автоматично.</x:v>
      </x:c>
      <x:c r="F14" s="6" t="str">
        <x:v>Підтримати з уточненням. Замовник має вибрати один варіант: A — база = subtotal − volumeDiscount; B — база = subtotal − volumeDiscount − promoDiscount. Потім те саме визначення внести до BL-60, термінів і F-110. Для порога 1500 приклад 2100 − 105 = 1995 та промокод 600 дає доставку 0 у варіанті A і 120 у B (база 1395).</x:v>
      </x:c>
      <x:c r="G14" s="14" t="str">
        <x:v>Не погоджено</x:v>
      </x:c>
      <x:c r="H14" s="6" t="str">
        <x:v>Потрібне окреме бізнес-рішення про врахування промокоду. Не обирати обидві редакції.</x:v>
      </x:c>
    </x:row>
    <x:row r="15" ht="69" customHeight="1">
      <x:c r="A15" s="12" t="str">
        <x:v>AO-16</x:v>
      </x:c>
      <x:c r="B15" s="12" t="str">
        <x:v>BL-70, алфавіт промокоду</x:v>
      </x:c>
      <x:c r="C15" s="5" t="str">
        <x:v>TA-20</x:v>
      </x:c>
      <x:c r="D15" s="5" t="str">
        <x:v>Алфавіт може бути потрібним бізнес-обмеженням; автор посилається на US01 із A–Z і 0–9.</x:v>
      </x:c>
      <x:c r="E15" s="5" t="str">
        <x:v>Беклог US01 не наданий. Правило довжини 6–10 саме по собі не доводить, що інші символи заборонені: вони можуть бути дозволені. Тому факт відсутності обмеження не підтверджує необхідність саме ASCII-алфавіту.</x:v>
      </x:c>
      <x:c r="F15" s="5" t="str">
        <x:v>Умовно: потрібен беклог. Отримати точний текст US01 і перевірити його статус/версію. Якщо A–Z/0–9 є погодженим правилом, доповнити BL-70 і реакцію на інші символи. До цього залишити як умовну знахідку або питання, не включати до підтвердженого нормативу.</x:v>
      </x:c>
      <x:c r="G15" s="14" t="str">
        <x:v>Не погоджено</x:v>
      </x:c>
      <x:c r="H15" s="5" t="str">
        <x:v>Потрібен лише відповідний фрагмент US01 або явне рішення замовника.</x:v>
      </x:c>
    </x:row>
    <x:row r="16" ht="96" customHeight="1">
      <x:c r="A16" s="13" t="str">
        <x:v>AO-19</x:v>
      </x:c>
      <x:c r="B16" s="13" t="str">
        <x:v>GUI-80</x:v>
      </x:c>
      <x:c r="C16" s="6" t="str">
        <x:v>SD-05, VP-05</x:v>
      </x:c>
      <x:c r="D16" s="6" t="str">
        <x:v>8K без стиснення за 50 мс за будь-якої мережі — нездійсненна універсальна гарантія. §4.6 підтверджено.</x:v>
      </x:c>
      <x:c r="E16" s="6" t="str">
        <x:v>SD-05 пропонує 200/500 КіБ, 1366×900 і ≥95% із 30; VP-05 — 300 КіБ, 1280×800 і 19/20. Це різні пропозиції. Вихідна вимога стосується картки та сторінки товару, отже обидві області слід явно покрити.</x:v>
      </x:c>
      <x:c r="F16" s="6" t="str">
        <x:v>Підтримати з уточненням. Погодити одну повну редакцію: ліміт ресурсу картки, ліміт ресурсу сторінки товару, середовище, умови мережі, початок/кінець вимірювання й обидва об'єкти перевірки. Для ≥95% із 30 потрібно щонайменше 29 успішних вимірювань; це не помилка арифметики, але краще записати цілу кількість. Усі метрики залишити пропозиціями до погодження.</x:v>
      </x:c>
      <x:c r="G16" s="14" t="str">
        <x:v>Не погоджено</x:v>
      </x:c>
      <x:c r="H16" s="6" t="str">
        <x:v>Замовник погоджує одну редакцію; кілька аудиторів не створюють кілька дефектів.</x:v>
      </x:c>
    </x:row>
    <x:row r="17" ht="69" customHeight="1">
      <x:c r="A17" s="12" t="str">
        <x:v>AO-20</x:v>
      </x:c>
      <x:c r="B17" s="12" t="str">
        <x:v>GUI-100</x:v>
      </x:c>
      <x:c r="C17" s="5" t="str">
        <x:v>SD-06, VP-06</x:v>
      </x:c>
      <x:c r="D17" s="5" t="str">
        <x:v>«Приємний», «сучасний», «легкий для читання» не мають визначених умов приймання. §4.7 підтверджено.</x:v>
      </x:c>
      <x:c r="E17" s="5" t="str">
        <x:v>У пропозиціях відрізняється масштаб 100%/200% та перелік сторінок. 16 px і 4,5:1 є запропонованими межами, не емпіричною гарантією загальної зручності чи естетики.</x:v>
      </x:c>
      <x:c r="F17" s="5" t="str">
        <x:v>Підтримати з уточненням. Погодити один набір сторінок, основний розмір тексту, контраст і перевірку обрізання при зазначеному масштабі. Суб'єктивну оцінку дизайну, якщо вона потрібна, приймати окремо за погодженим зразком; не посилатися на відсутній макет як на наявний документ.</x:v>
      </x:c>
      <x:c r="G17" s="14" t="str">
        <x:v>Не погоджено</x:v>
      </x:c>
      <x:c r="H17" s="5" t="str">
        <x:v>Єдина редакція та підтвердження візуальних критеріїв замовником.</x:v>
      </x:c>
    </x:row>
    <x:row r="18" ht="82.5" customHeight="1">
      <x:c r="A18" s="13" t="str">
        <x:v>AO-22</x:v>
      </x:c>
      <x:c r="B18" s="13" t="str">
        <x:v>S-10</x:v>
      </x:c>
      <x:c r="C18" s="6" t="str">
        <x:v>SD-08</x:v>
      </x:c>
      <x:c r="D18" s="6" t="str">
        <x:v>Абсолютне «не містить вразливостей» і невизначене «надійно захищені» не дають перевірюваних меж. §4.7 застосовано обґрунтовано.</x:v>
      </x:c>
      <x:c r="E18" s="6" t="str">
        <x:v>Запропонована перевірка доступу до чужих даних покриває лише один аспект безпеки. Вона не дорівнює всьому початковому наміру S-10. Перелік «401/403 або redirect» без розділення ситуацій залишає слабкий оракул.</x:v>
      </x:c>
      <x:c r="F18" s="6" t="str">
        <x:v>Підтримати з уточненням. Погодити конкретний обсяг S-10 і розділити очікувані результати для запиту без входу, запиту користувача до чужих даних, UI та API. Зберегти відсутність розкриття/зміни чужих даних як обов'язковий результат. Інші аспекти безпеки не вважати автоматично перевіреними або вилученими.</x:v>
      </x:c>
      <x:c r="G18" s="14" t="str">
        <x:v>Не погоджено</x:v>
      </x:c>
      <x:c r="H18" s="6" t="str">
        <x:v>Замовник погоджує обсяг безпеки; тестові акаунти й API-контракт перевіряються окремо.</x:v>
      </x:c>
    </x:row>
    <x:row r="19" ht="82.5" customHeight="1">
      <x:c r="A19" s="12" t="str">
        <x:v>AO-25</x:v>
      </x:c>
      <x:c r="B19" s="12" t="str">
        <x:v>D-10, зовнішній регламент</x:v>
      </x:c>
      <x:c r="C19" s="5" t="str">
        <x:v>SD-11</x:v>
      </x:c>
      <x:c r="D19" s="5" t="str">
        <x:v>Регламент не наданий і не має доступної прив'язки у §1.4. Це реальна залежність для перевірки документації.</x:v>
      </x:c>
      <x:c r="E19" s="5" t="str">
        <x:v>Відсутність у наданому комплекті не доводить, що регламент не існує. §4.3, п.3 говорить про неіснуючі об'єкти посилань. Вилучення зовнішнього регламенту може змінити нормативне джерело бізнес-правил.</x:v>
      </x:c>
      <x:c r="F19" s="5" t="str">
        <x:v>Умовно: потрібен регламент. Запросити точний регламент, його версію та посилання. Якщо він існує — виправити доступність посилання. Якщо замовник підтвердить його відсутність/незастосовність — погодити заміну джерела на SRS. До цього не оголошувати доведеним факт неіснування документа.</x:v>
      </x:c>
      <x:c r="G19" s="14" t="str">
        <x:v>Не погоджено</x:v>
      </x:c>
      <x:c r="H19" s="5" t="str">
        <x:v>Достатньо рішення замовника про статус документа або його конкретного посилання/версії.</x:v>
      </x:c>
    </x:row>
    <x:row r="20" ht="69" customHeight="1">
      <x:c r="A20" s="13" t="str">
        <x:v>AO-26</x:v>
      </x:c>
      <x:c r="B20" s="13" t="str">
        <x:v>BL-50</x:v>
      </x:c>
      <x:c r="C20" s="6" t="str">
        <x:v>VP-08</x:v>
      </x:c>
      <x:c r="D20" s="6" t="str">
        <x:v>Пороги «від 2000», «від 5000», «від 10000» не містять явного правила вибору єдиного інтервалу. Неперетинні діапазони усувають ризик різних реалізацій за §4.2, пп.1,4.</x:v>
      </x:c>
      <x:c r="E20" s="6" t="str">
        <x:v>Попередній аргумент про додавання відсотків треба звузити: SRS вже перелічує допустимі результати volumeDiscountPercent як 0,5,10,15, тож 30% не є сумісною альтернативою для цього методу. Знахідка стосується вибору порога, не доведеної помилки реалізації.</x:v>
      </x:c>
      <x:c r="F20" s="6" t="str">
        <x:v>Підтримати з уточненням. Задати 0≤s&lt;2000:0%; 2000≤s&lt;5000:5%; 5000≤s&lt;10000:10%; s≥10000:15%. В обґрунтуванні залишити лише відсутнє правило вибору одного порога; код не перевірявся. Редакцію погодити як уточнення задуманих діапазонів.</x:v>
      </x:c>
      <x:c r="G20" s="14" t="str">
        <x:v>Не погоджено</x:v>
      </x:c>
      <x:c r="H20" s="6" t="str">
        <x:v>Уточнення аргументу внесено до власного файла; затвердження SRS залишається за командою.</x:v>
      </x:c>
    </x:row>
    <x:row r="21" ht="69" customHeight="1">
      <x:c r="A21" s="12" t="str">
        <x:v>AO-27</x:v>
      </x:c>
      <x:c r="B21" s="12" t="str">
        <x:v>BL-70 ↔ BL-80, некоректні аргументи</x:v>
      </x:c>
      <x:c r="C21" s="5" t="str">
        <x:v>VP-09</x:v>
      </x:c>
      <x:c r="D21" s="5" t="str">
        <x:v>Для відсоткового коду не визначено реакцію на від'ємний subtotal, а формула apply дає від'ємну знижку. Реакція на null-аргументи також не задана в SRS. §4.3, пп.4–5 застосовний до цього контракту.</x:v>
      </x:c>
      <x:c r="E21" s="5" t="str">
        <x:v>README і код модуля не надані; вони можуть містити загальну політику аргументів. Вибір IllegalArgumentException є пропозицією. Це інша знахідка, ніж непідтверджений алфавіт у TA-20.</x:v>
      </x:c>
      <x:c r="F21" s="5" t="str">
        <x:v>Підтримати з уточненням. Явно визначити subtotal≥0, політику null і реакцію validate/apply в SRS або через точне нормативне посилання на наданий контракт. Зберегти наявні умови придатності промокоду. Погодити вид помилки перед формуванням очікуваних результатів тестів.</x:v>
      </x:c>
      <x:c r="G21" s="14" t="str">
        <x:v>Не погоджено</x:v>
      </x:c>
      <x:c r="H21" s="5" t="str">
        <x:v>Звірити з контрактом модуля перед остаточним прийняттям; запуск Java-коду не проводився.</x:v>
      </x:c>
    </x:row>
  </x:sheetData>
  <x:dataValidations count="1">
    <x:dataValidation type="list" sqref="G7:G21">
      <x:formula1>"Не погоджено,Прийнято КТ,Відхилено КТ,Потрібне рішення замовника"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612274bd254ddc"/>
  </x:tableParts>
</x:worksheet>
</file>