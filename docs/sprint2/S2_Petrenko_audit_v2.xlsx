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121a666a3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обистий аудит" sheetId="1" r:id="R90caef885ac64542"/>
    <x:sheet xmlns:r="http://schemas.openxmlformats.org/officeDocument/2006/relationships" name="Покриття" sheetId="2" r:id="R363f18411bac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243447"/>
      <x:name val="Arial"/>
    </x:font>
    <x:font>
      <x:b/>
      <x:sz val="16"/>
      <x:color rgb="FF263F5D"/>
      <x:name val="Arial"/>
    </x:font>
    <x:font>
      <x:sz val="10"/>
      <x:color rgb="FF5B6878"/>
      <x:name val="Arial"/>
    </x:font>
    <x:font>
      <x:b/>
      <x:sz val="14"/>
      <x:color rgb="FF263F5D"/>
      <x:name val="Arial"/>
    </x:font>
    <x:font>
      <x:b/>
      <x:sz val="11"/>
      <x:color rgb="FFFFFFFF"/>
      <x:name val="Arial"/>
    </x:font>
    <x:font>
      <x:b/>
      <x:sz val="11"/>
      <x:color rgb="FF263F5D"/>
      <x:name val="Arial"/>
    </x:font>
    <x:font>
      <x:b/>
      <x:sz val="12"/>
      <x:color rgb="FF263F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5F9"/>
      </x:patternFill>
    </x:fill>
    <x:fill>
      <x:patternFill patternType="solid">
        <x:fgColor rgb="FF263F5D"/>
      </x:patternFill>
    </x:fill>
    <x:fill>
      <x:patternFill patternType="solid">
        <x:fgColor rgb="FFFFF1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CBD5E1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3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263F5D"/>
      </x:font>
      <x:fill>
        <x:patternFill>
          <x:bgColor rgb="FFE8EEF6"/>
        </x:patternFill>
      </x:fill>
    </x:dxf>
    <x:dxf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b3003f53c48fd" /><Relationship Type="http://schemas.openxmlformats.org/officeDocument/2006/relationships/theme" Target="/xl/theme/theme1.xml" Id="R62885eb1ed774723" /><Relationship Type="http://schemas.openxmlformats.org/officeDocument/2006/relationships/sharedStrings" Target="/xl/sharedStrings.xml" Id="R8bb41962ff5141e5" /><Relationship Type="http://schemas.openxmlformats.org/officeDocument/2006/relationships/worksheet" Target="/xl/worksheets/sheet1.xml" Id="R90caef885ac64542" /><Relationship Type="http://schemas.openxmlformats.org/officeDocument/2006/relationships/worksheet" Target="/xl/worksheets/sheet2.xml" Id="R363f18411bac46c0" /></Relationships>
</file>

<file path=xl/tables/table1.xml><?xml version="1.0" encoding="utf-8"?>
<x:table xmlns:x="http://schemas.openxmlformats.org/spreadsheetml/2006/main" id="1" name="PetrenkoAudit" displayName="PetrenkoAudit" ref="A7:H18" headerRowCount="1" totalsRowCount="0" totalsRowShown="0">
  <x:tableColumns count="8">
    <x:tableColumn id="1" name="№"/>
    <x:tableColumn id="2" name="ID вимоги"/>
    <x:tableColumn id="3" name="Критерій"/>
    <x:tableColumn id="4" name="Опис дефекту і пункт чек-листа"/>
    <x:tableColumn id="5" name="Пропозиція виправлення"/>
    <x:tableColumn id="6" name="Хто знайшов"/>
    <x:tableColumn id="7" name="Локальний ID і джерело"/>
    <x:tableColumn id="8" name="Що потребує погодженн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trenkoCoverage" displayName="PetrenkoCoverage" ref="A6:I28" headerRowCount="1" totalsRowCount="0" totalsRowShown="0">
  <x:tableColumns count="9">
    <x:tableColumn id="1" name="Об’єкт / ID"/>
    <x:tableColumn id="2" name="Сторінка SRS"/>
    <x:tableColumn id="3" name="Однозначність"/>
    <x:tableColumn id="4" name="Повнота"/>
    <x:tableColumn id="5" name="Несуперечливість"/>
    <x:tableColumn id="6" name="Простежуваність"/>
    <x:tableColumn id="7" name="Здійсненність"/>
    <x:tableColumn id="8" name="Тестопридатність"/>
    <x:tableColumn id="9" name="Приміт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667373815c42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6ed646eacd4e68" /></Relationships>
</file>

<file path=xl/worksheets/sheet1.xml><?xml version="1.0" encoding="utf-8"?>
<x:worksheet xmlns:x="http://schemas.openxmlformats.org/spreadsheetml/2006/main">
  <x:sheetPr>
    <x:tabColor rgb="FF263F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.559999942779541" hidden="0" customWidth="1"/>
    <x:col min="2" max="2" width="22.219999313354492" hidden="0" customWidth="1"/>
    <x:col min="3" max="3" width="18.889999389648438" hidden="0" customWidth="1"/>
    <x:col min="4" max="4" width="50.560001373291016" hidden="0" customWidth="1"/>
    <x:col min="5" max="5" width="72.22000122070312" hidden="0" customWidth="1"/>
    <x:col min="6" max="6" width="17.219999313354492" hidden="0" customWidth="1"/>
    <x:col min="7" max="7" width="24.440000534057617" hidden="0" customWidth="1"/>
    <x:col min="8" max="8" width="50.560001373291016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Особистий аудит SRS 1.0 «ШопЛайн»</x:v>
      </x:c>
      <x:c r="B2" s="2"/>
      <x:c r="C2" s="2"/>
      <x:c r="D2" s="2"/>
      <x:c r="E2" s="2"/>
      <x:c r="F2" s="2"/>
      <x:c r="G2" s="2"/>
      <x:c r="H2" s="2"/>
    </x:row>
    <x:row r="3" ht="18" customHeight="1">
      <x:c r="A3" s="2" t="str">
        <x:v>Петренко Валентин. Аудитор-опонент. Розділи 2, 4 і 5. 18.10.2026.</x:v>
      </x:c>
      <x:c r="B3" s="2"/>
      <x:c r="C3" s="2"/>
      <x:c r="D3" s="2"/>
      <x:c r="E3" s="2"/>
      <x:c r="F3" s="2"/>
      <x:c r="G3" s="2"/>
      <x:c r="H3" s="2"/>
    </x:row>
    <x:row r="4" ht="18" customHeight="1">
      <x:c r="A4" s="4" t="str">
        <x:v>Джерела: SRS «ШопЛайн» 1.0, с. 2–6; методичка спринту 2, §§4.2–4.7. Класифікація — за методичкою.</x:v>
      </x:c>
      <x:c r="B4" s="4"/>
      <x:c r="C4" s="4"/>
      <x:c r="D4" s="4"/>
      <x:c r="E4" s="4"/>
      <x:c r="F4" s="4"/>
      <x:c r="G4" s="4"/>
      <x:c r="H4" s="4"/>
    </x:row>
    <x:row r="5" ht="18" customHeight="1">
      <x:c r="A5" s="2" t="str">
        <x:v>Підготовлено для зведення. Пропозиції ще не затверджені командою. Початкову SRS не змінено.</x:v>
      </x:c>
      <x:c r="B5" s="2"/>
      <x:c r="C5" s="2"/>
      <x:c r="D5" s="2"/>
      <x:c r="E5" s="2"/>
      <x:c r="F5" s="2"/>
      <x:c r="G5" s="2"/>
      <x:c r="H5" s="2"/>
    </x:row>
    <x:row r="6" ht="18" customHeight="1">
      <x:c r="A6" s="2" t="str">
        <x:v>Дефекти</x:v>
      </x:c>
      <x:c r="B6" s="6" t="n">
        <x:f>COUNT(A8:A18)</x:f>
        <x:v>11</x:v>
      </x:c>
      <x:c r="C6" s="2" t="str">
        <x:v>Уточнення</x:v>
      </x:c>
      <x:c r="D6" s="6" t="n">
        <x:v>2</x:v>
      </x:c>
      <x:c r="E6" s="2"/>
      <x:c r="F6" s="2"/>
      <x:c r="G6" s="2"/>
      <x:c r="H6" s="2"/>
    </x:row>
    <x:row r="7" ht="31.5" customHeight="1">
      <x:c r="A7" s="14" t="str">
        <x:v>№</x:v>
      </x:c>
      <x:c r="B7" s="14" t="str">
        <x:v>ID вимоги</x:v>
      </x:c>
      <x:c r="C7" s="14" t="str">
        <x:v>Критерій</x:v>
      </x:c>
      <x:c r="D7" s="14" t="str">
        <x:v>Опис дефекту і пункт чек-листа</x:v>
      </x:c>
      <x:c r="E7" s="14" t="str">
        <x:v>Пропозиція виправлення</x:v>
      </x:c>
      <x:c r="F7" s="14" t="str">
        <x:v>Хто знайшов</x:v>
      </x:c>
      <x:c r="G7" s="14" t="str">
        <x:v>Локальний ID і джерело</x:v>
      </x:c>
      <x:c r="H7" s="14" t="str">
        <x:v>Що потребує погодження</x:v>
      </x:c>
    </x:row>
    <x:row r="8" ht="97.5" customHeight="1">
      <x:c r="A8" s="17" t="n">
        <x:v>1</x:v>
      </x:c>
      <x:c r="B8" s="19" t="str">
        <x:v>GUI-20</x:v>
      </x:c>
      <x:c r="C8" s="8" t="str">
        <x:v>Несуперечливість</x:v>
      </x:c>
      <x:c r="D8" s="8" t="str">
        <x:v>§4.4, п. 2. GUI-20 встановлює 12 карток на сторінці, а F-40 — 9. Одна сторінка каталогу не може одночасно відповідати обом значенням. Порушено узгодженість між вимогами.
Фрагменти SRS: «по 12 карток на сторінці»; «по 9 карток на сторінці».</x:v>
      </x:c>
      <x:c r="E8" s="8" t="str">
        <x:v>GUI-20: Картки каталогу розміщуються сіткою у три колонки, не більше ніж по 9 карток на сторінці; на останній сторінці відображаються всі картки, що залишилися. Картка містить зображення, назву, шкалу класу CO2 і ціну. Для відсутнього товару поверх зображення виводиться позначка «Out of stock».</x:v>
      </x:c>
      <x:c r="F8" s="8" t="str">
        <x:v>Петренко Валентин</x:v>
      </x:c>
      <x:c r="G8" s="8" t="str">
        <x:v>VP-01
SRS, с. 5, §4; пов'язана F-40, с. 4</x:v>
      </x:c>
      <x:c r="H8" s="21" t="str">
        <x:v>Підтвердити вибір 9 карток. Якщо замовник обере 12, змінити F-40 замість GUI-20. Остаточне число не визначається самим фактом суперечності.</x:v>
      </x:c>
    </x:row>
    <x:row r="9" ht="97.5" customHeight="1">
      <x:c r="A9" s="18" t="n">
        <x:v>2</x:v>
      </x:c>
      <x:c r="B9" s="20" t="str">
        <x:v>GUI-30</x:v>
      </x:c>
      <x:c r="C9" s="9" t="str">
        <x:v>Несуперечливість</x:v>
      </x:c>
      <x:c r="D9" s="9" t="str">
        <x:v>§4.4, п. 2. GUI-30 дозволяє кількість 0–100, тоді як BL-10 і BL-40 дозволяють лише 1–99; BL-20 також обмежує підсумкову кількість рядка значенням 99. Інтерфейс допускає значення, заборонені бізнес-логікою.
Фрагменти SRS: «приймає значення від 0 до 100»; «qty — ціле число від 1 до 99 включно».</x:v>
      </x:c>
      <x:c r="E9" s="9" t="str">
        <x:v>GUI-30: Поле «Quantity» на сторінці товару є числовим, із кнопками «−» і «+» ліворуч і праворуч. Допустимі лише цілі значення від 1 до 99 включно; початкове значення — 1. Кнопки не змінюють кількість поза цими межами. Якщо вручну введено недопустиме значення, біля поля відображається помилка «Quantity must be between 1 and 99»; додавання товару до кошика не виконується. Повторне додавання не може збільшити кількість рядка понад 99, як визначено BL-20.</x:v>
      </x:c>
      <x:c r="F9" s="9" t="str">
        <x:v>Петренко Валентин</x:v>
      </x:c>
      <x:c r="G9" s="9" t="str">
        <x:v>VP-02
SRS, с. 5, §4; BL-10, BL-20, BL-40, с. 6</x:v>
      </x:c>
      <x:c r="H9" s="21" t="str">
        <x:v>Межі 1–99 уже задані у BL-10/20/40. Текст повідомлення та поведінка кнопок — запропоновані уточнення для погодження.</x:v>
      </x:c>
    </x:row>
    <x:row r="10" ht="97.5" customHeight="1">
      <x:c r="A10" s="17" t="n">
        <x:v>3</x:v>
      </x:c>
      <x:c r="B10" s="19" t="str">
        <x:v>GUI-40 ↔ F-120</x:v>
      </x:c>
      <x:c r="C10" s="8" t="str">
        <x:v>Несуперечливість</x:v>
      </x:c>
      <x:c r="D10" s="8" t="str">
        <x:v>§4.4, п. 2. GUI-40 забороняє додавання до обраного без входу, а F-120 прямо дозволяє його. У §2.1 обране також віднесене до функцій зареєстрованого покупця. Для тієї самої дії гостя встановлено несумісні результати.
Фрагменти SRS: «товар до обраного не додається»; «без входу в».</x:v>
      </x:c>
      <x:c r="E10" s="8" t="str">
        <x:v>Пропонований варіант: залишити GUI-40, а F-120 викласти так: Зареєстрований покупець, який увійшов у систему, може додати товар до списку обраного кнопкою «Add to favourites». Для гостя система показує «Unauthorized, can not add product to your favorite list», і товар не додається. Список доступний у кабінеті («My favorites»), де позицію можна видалити.</x:v>
      </x:c>
      <x:c r="F10" s="8" t="str">
        <x:v>Петренко Валентин</x:v>
      </x:c>
      <x:c r="G10" s="8" t="str">
        <x:v>VP-03
SRS, с. 5, §4; F-120, с. 4; ролі §2.1, с. 2</x:v>
      </x:c>
      <x:c r="H10" s="21" t="str">
        <x:v>Погодити авторизацію як обов'язкову умову. Якщо потрібне гостьове обране, необхідно узгоджено змінити GUI-40 і §2.1 та описати зберігання і перенесення списку. F-120 поза моїм основним розділом; правка передається тест-аналітику.</x:v>
      </x:c>
    </x:row>
    <x:row r="11" ht="97.5" customHeight="1">
      <x:c r="A11" s="18" t="n">
        <x:v>4</x:v>
      </x:c>
      <x:c r="B11" s="20" t="str">
        <x:v>GUI-60 (вхід і реєстрація)</x:v>
      </x:c>
      <x:c r="C11" s="9" t="str">
        <x:v>Простежуваність</x:v>
      </x:c>
      <x:c r="D11" s="9" t="str">
        <x:v>§4.5, п. 2. Дві різні вимоги — форма входу та форма реєстрації — мають однаковий ID GUI-60. Посилання тест-кейсу або дефекту на GUI-60 не визначає однозначно потрібну вимогу.
Фрагменти SRS: «Форма входу містить поля»; «Форма реєстрації містить поля у такому порядку».</x:v>
      </x:c>
      <x:c r="E11" s="9" t="str">
        <x:v>Залишити GUI-60 для форми входу. Вимозі про форму реєстрації присвоїти вільний ID GUI-65 без зміни її тексту. Решту ID не перенумеровувати. У журналі SRS 1.1 зафіксувати: GUI-60 (реєстрація) → GUI-65, підстава VP-04. Наявні зовнішні посилання на форму реєстрації оновлювати після перевірки їхнього змісту.</x:v>
      </x:c>
      <x:c r="F11" s="9" t="str">
        <x:v>Петренко Валентин</x:v>
      </x:c>
      <x:c r="G11" s="9" t="str">
        <x:v>VP-04
SRS, с. 5, §4; два послідовні рядки GUI-60</x:v>
      </x:c>
      <x:c r="H11" s="21" t="str">
        <x:v>GUI-65 не зайнятий у наданій SRS 1.0. Посилання в документах колег поки не перевірялися.</x:v>
      </x:c>
    </x:row>
    <x:row r="12" ht="136.5" customHeight="1">
      <x:c r="A12" s="17" t="n">
        <x:v>5</x:v>
      </x:c>
      <x:c r="B12" s="19" t="str">
        <x:v>GUI-80</x:v>
      </x:c>
      <x:c r="C12" s="8" t="str">
        <x:v>Здійсненність</x:v>
      </x:c>
      <x:c r="D12" s="8" t="str">
        <x:v>§4.6, єдиний пункт. Гарантія завантаження нестисненого зображення 8K за 50 мс за будь-якого з'єднання не враховує пропускну здатність, затримку й обрив мережі, які продукт не контролює. Головний дефект — неможливість виконати універсальну гарантію.
Фрагменти SRS: «не менше 8K (7680×4320 пікселів) без стиснення»; «не довше ніж за 50 мс кожне за будь-якого з'єднання з Інтернетом».</x:v>
      </x:c>
      <x:c r="E12" s="8" t="str">
        <x:v>GUI-80, пропонована редакція: Зображення товарів відображаються зі збереженням пропорцій, у межах виділеного блока. Для картки каталогу використовується оптимізований файл JPEG або WebP розміром не більше 300 КіБ, для сторінки товару — не більше 500 КіБ. На контрольному стенді з Chrome 120+, вікном 1280×800, пропускною здатністю 10 Мбіт/с і RTT 50 мс, без кешу та втрат пакетів, час отримання зображення від початку запиту до отримання останнього байта не перевищує 1 с щонайменше у 19 із 20 вимірювань окремо для зображень картки та сторінки товару. Для перевірки використовується контрольований тестовий сервер. Гарантія не поширюється на довільні зовнішні з'єднання.</x:v>
      </x:c>
      <x:c r="F12" s="8" t="str">
        <x:v>Петренко Валентин</x:v>
      </x:c>
      <x:c r="G12" s="8" t="str">
        <x:v>VP-05
SRS, с. 5, §4; середовище §2.2, с. 3</x:v>
      </x:c>
      <x:c r="H12" s="21" t="str">
        <x:v>300/500 КіБ, 10 Мбіт/с, RTT 50 мс, 1 с і 19/20 для кожного об'єкта — запропоновані критерії, а не результати вимірювання чи дані SRS. Усі потребують підтвердження замовником; доступність контрольного стенда також перевіряється окремо.</x:v>
      </x:c>
    </x:row>
    <x:row r="13" ht="111" customHeight="1">
      <x:c r="A13" s="18" t="n">
        <x:v>6</x:v>
      </x:c>
      <x:c r="B13" s="20" t="str">
        <x:v>GUI-100</x:v>
      </x:c>
      <x:c r="C13" s="9" t="str">
        <x:v>Тестопридатність</x:v>
      </x:c>
      <x:c r="D13" s="9" t="str">
        <x:v>§4.7, однозначний результат «пройдено / не пройдено». Для слів «приємною», «сучасною» і «легкими для читання» не визначені вимірювані умови приймання. Різні рецензенти можуть винести протилежні оцінки без порушення тексту вимоги.
Фрагменти SRS: «приємною і сучасною»; «легкими для читання».</x:v>
      </x:c>
      <x:c r="E13" s="9" t="str">
        <x:v>GUI-100, пропонована редакція: У підтримуваному середовищі з §2.2, за масштабу браузера 100 %, основний текст має розмір не менше 16 CSS-пікселів, а контраст тексту до фону — не менше 4,5:1. Текст не накладається на інші елементи й не обрізається. Кольори та шрифти однакових компонентів узгоджені на сторінках каталогу, товару, входу, реєстрації, кошика і контакту. Поняття «приємний» і «сучасний» не використовуються як самостійні критерії приймання.</x:v>
      </x:c>
      <x:c r="F13" s="9" t="str">
        <x:v>Петренко Валентин</x:v>
      </x:c>
      <x:c r="G13" s="9" t="str">
        <x:v>VP-06
SRS, с. 5, §4</x:v>
      </x:c>
      <x:c r="H13" s="21" t="str">
        <x:v>16 CSS-пікселів і 4,5:1 — пропозиція вимірюваних меж, а не встановлені замовником значення. Остаточні параметри й візуальні уподобання потрібно погодити. Відповідність цим межам не доводить загальну зручність продукту.</x:v>
      </x:c>
    </x:row>
    <x:row r="14" ht="111" customHeight="1">
      <x:c r="A14" s="17" t="n">
        <x:v>7</x:v>
      </x:c>
      <x:c r="B14" s="19" t="str">
        <x:v>BL-30 (дублює BL-20)</x:v>
      </x:c>
      <x:c r="C14" s="8" t="str">
        <x:v>Простежуваність</x:v>
      </x:c>
      <x:c r="D14" s="8" t="str">
        <x:v>§4.5, пп. 1 і 5. BL-30 повторює правило BL-20 про збільшення кількості за наявного SKU без створення нового рядка. BL-20 додатково містить межу 99 і реакцію на її перевищення. Одне правило має два ID, які можуть розійтися під час подальших змін.
Фрагменти SRS: «не створює новий рядок»; «не додає окремий рядок».</x:v>
      </x:c>
      <x:c r="E14" s="8" t="str">
        <x:v>Вилучити BL-30 як дубль, зберегти BL-20 повністю разом із межею 99, IllegalArgumentException та незмінністю кошика в разі помилки. У журналі змін зазначити: BL-30 вилучено, правило збережене у BL-20, підстава VP-07. ID BL-30 не використовувати повторно; інші вимоги не перенумеровувати. Зовнішні посилання на BL-30 перенести на BL-20 після перевірки їхнього змісту.</x:v>
      </x:c>
      <x:c r="F14" s="8" t="str">
        <x:v>Петренко Валентин</x:v>
      </x:c>
      <x:c r="G14" s="8" t="str">
        <x:v>VP-07
SRS, с. 6, §5, BL-20 і BL-30</x:v>
      </x:c>
      <x:c r="H14" s="21" t="str">
        <x:v>Це пропозиція до SRS 1.1. Початковий PDF не змінено; зовнішні тест-кейси й посилання ще не перевірено.</x:v>
      </x:c>
    </x:row>
    <x:row r="15" ht="136.5" customHeight="1">
      <x:c r="A15" s="18" t="n">
        <x:v>8</x:v>
      </x:c>
      <x:c r="B15" s="20" t="str">
        <x:v>BL-50</x:v>
      </x:c>
      <x:c r="C15" s="9" t="str">
        <x:v>Однозначність</x:v>
      </x:c>
      <x:c r="D15" s="9" t="str">
        <x:v>§4.2, пп. 1 і 4. Пороги записані як діапазони «від» без верхніх меж: для 10000 грн виконуються одразу три умови. Не задано явного правила вибору одного найбільшого досягнутого порога. Потрібні неперетинні інтервали. Перелік результатів volumeDiscountPercent уже обмежує значення числами 0, 5, 10, 15; додавання відсотків не використовується як альтернативне тлумачення.
Фрагменти SRS: «від 2000 грн — 5 %, від 5000 грн — 10 %, від 10000 грн — 15 %».</x:v>
      </x:c>
      <x:c r="E15" s="9" t="str">
        <x:v>BL-50: Для subtotal &lt; 0 методи volumeDiscount і volumeDiscountPercent кидають IllegalArgumentException. Для 0 ≤ subtotal &lt; 2000 відсоток дорівнює 0; для 2000 ≤ subtotal &lt; 5000 — 5; для 5000 ≤ subtotal &lt; 10000 — 10; для subtotal ≥ 10000 — 15. Застосовується рівно один інтервал, відсотки не додаються. volumeDiscountPercent повертає 0, 5, 10 або 15; volumeDiscount повертає subtotal × відсоток / 100 з округленням до двох знаків HALF_UP. За нульової знижки повертається 0.00.</x:v>
      </x:c>
      <x:c r="F15" s="9" t="str">
        <x:v>Петренко Валентин</x:v>
      </x:c>
      <x:c r="G15" s="9" t="str">
        <x:v>VP-08
SRS, с. 6, §5</x:v>
      </x:c>
      <x:c r="H15" s="21" t="str">
        <x:v>Вибір одного найбільшого досягнутого порога є запропонованим уточненням задуму. Його необхідно погодити перед затвердженням SRS 1.1.</x:v>
      </x:c>
    </x:row>
    <x:row r="16" ht="138" customHeight="1">
      <x:c r="A16" s="17" t="n">
        <x:v>9</x:v>
      </x:c>
      <x:c r="B16" s="19" t="str">
        <x:v>BL-70</x:v>
      </x:c>
      <x:c r="C16" s="8" t="str">
        <x:v>Повнота</x:v>
      </x:c>
      <x:c r="D16" s="8" t="str">
        <x:v>§4.3, пп. 4 і 5. BL-70 не задає допустимий діапазон subtotal і реакцію на від'ємний subtotal та null у вхідних аргументах. Для відсоткового промокоду перелічені умови не відхиляють від'ємну суму; BL-80 тоді допускає обчислення від'ємної знижки. Для таких входів немає визначеного очікуваного результату.
Фрагменти SRS: «PromoCodeValidator.validate(code, today, subtotal)»; «Результат містить ознаку придатності та причину відмови».</x:v>
      </x:c>
      <x:c r="E16" s="8" t="str">
        <x:v>До BL-70 додати: Аргументи code, today і subtotal не можуть бути null; subtotal має бути невід'ємним. За null у будь-якому з цих аргументів або subtotal &lt; 0 validate кидає IllegalArgumentException до перевірки придатності промокоду. apply із BL-80 виконує ту саму перевірку аргументів перед обчисленням знижки. Для коректних аргументів зберігаються всі перелічені в BL-70 умови придатності; для придатного коду причина відмови порожня, для непридатного — непорожня і називає щонайменше одну порушену умову.</x:v>
      </x:c>
      <x:c r="F16" s="8" t="str">
        <x:v>Петренко Валентин</x:v>
      </x:c>
      <x:c r="G16" s="8" t="str">
        <x:v>VP-09
SRS, с. 6, §5; пов'язана BL-80</x:v>
      </x:c>
      <x:c r="H16" s="21" t="str">
        <x:v>Відхилення від'ємних сум і обробка null через IllegalArgumentException — запропонована політика помилок. Її слід звірити з контрактом Java-модуля і погодити; код та README модуля в цьому аудиті не перевірялися.</x:v>
      </x:c>
    </x:row>
    <x:row r="17" ht="97.5" customHeight="1">
      <x:c r="A17" s="18" t="n">
        <x:v>10</x:v>
      </x:c>
      <x:c r="B17" s="20" t="str">
        <x:v>BL-60 ↔ F-110</x:v>
      </x:c>
      <x:c r="C17" s="9" t="str">
        <x:v>Несуперечливість</x:v>
      </x:c>
      <x:c r="D17" s="9" t="str">
        <x:v>§4.4, п. 2. BL-60 встановлює безкоштовну доставку від 1500 грн після знижки, а F-110 — від 2000 грн, не уточнюючи базу. Наприклад, замовлення на 1600 грн без знижок має доставку 0 за BL-60 і 120 за F-110.
Фрагменти SRS: «сума після знижки не менша за 1500 грн»; «для замовлень від 2000 грн доставка безкоштовна».</x:v>
      </x:c>
      <x:c r="E17" s="9" t="str">
        <x:v>Пропонований узгоджений варіант: BL-60: shippingFee приймає невід'ємну суму товарів після знижки за обсяг і знижки за промокодом. Якщо ця сума ≥ 1500.00 грн, доставка дорівнює 0.00 грн; інакше — 120.00 грн. Для від'ємної суми — IllegalArgumentException. Пов'язаний фрагмент F-110: Вартість доставки становить 120.00 грн; якщо сума товарів після знижки за обсяг і знижки за промокодом не менша за 1500.00 грн, доставка безкоштовна.</x:v>
      </x:c>
      <x:c r="F17" s="9" t="str">
        <x:v>Петренко Валентин</x:v>
      </x:c>
      <x:c r="G17" s="9" t="str">
        <x:v>VP-10
SRS, с. 6, §5; F-110, с. 4</x:v>
      </x:c>
      <x:c r="H17" s="21" t="str">
        <x:v>Поріг 1500 грн і врахування обох знижок — варіант для підтвердження замовником. Можна натомість погодити 2000 грн, але обидві вимоги повинні використовувати однаковий поріг і базу. Не вважати вибір затвердженим.</x:v>
      </x:c>
    </x:row>
    <x:row r="18" ht="124.5" customHeight="1">
      <x:c r="A18" s="17" t="n">
        <x:v>11</x:v>
      </x:c>
      <x:c r="B18" s="19" t="str">
        <x:v>BL-80</x:v>
      </x:c>
      <x:c r="C18" s="8" t="str">
        <x:v>Здійсненність</x:v>
      </x:c>
      <x:c r="D18" s="8" t="str">
        <x:v>§4.6, єдиний пункт. Перед застосуванням коду потрібна перевірка використання в усіх інших, зокрема сторонніх, інтернет-магазинах. SRS не визначає спільний реєстр, протокол обміну або доступ до їхніх даних. Окрема Java-бібліотека не може гарантувати таку глобальну перевірку в заданих ресурсах.
Фрагменти SRS: «у жодному іншому інтернет-магазині»; «зокрема сторонніх».</x:v>
      </x:c>
      <x:c r="E18" s="8" t="str">
        <x:v>BL-80: PromoCodeValidator.apply(code, today, subtotal) перевіряє придатність коду за BL-70 та повертає суму знижки. Для відсоткового коду — subtotal × відсоток / 100 з округленням до копійок HALF_UP; для фіксованої суми — значення коду. Ознака використання одноразового коду стосується лише магазину «ШопЛайн» і передається модулю з його локального обліку промокодів. Використання коду в сторонніх магазинах не перевіряється. Для непридатного коду метод кидає IllegalArgumentException із причиною відмови. Сам виклик розрахунку знижки не фіксує використання коду в замовленні.</x:v>
      </x:c>
      <x:c r="F18" s="8" t="str">
        <x:v>Петренко Валентин</x:v>
      </x:c>
      <x:c r="G18" s="8" t="str">
        <x:v>VP-11
SRS, с. 6, §5; BL-70 і обмеження §2.3, с. 3</x:v>
      </x:c>
      <x:c r="H18" s="21" t="str">
        <x:v>Підтвердити локальну область одноразовості й те, що apply лише обчислює знижку. Момент фіксації використання під час оформлення та захист від одночасного погашення потрібно погодити для майбутньої інтеграції; реалізація сховища тут не перевірялася.</x:v>
      </x:c>
    </x:row>
    <x:row r="19" ht="18" customHeight="1">
      <x:c r="A19" s="2"/>
      <x:c r="B19" s="2"/>
      <x:c r="C19" s="2"/>
      <x:c r="D19" s="2"/>
      <x:c r="E19" s="2"/>
      <x:c r="F19" s="2"/>
      <x:c r="G19" s="2"/>
      <x:c r="H19" s="2"/>
    </x:row>
    <x:row r="20" ht="18" customHeight="1">
      <x:c r="A20" s="2"/>
      <x:c r="B20" s="2"/>
      <x:c r="C20" s="2"/>
      <x:c r="D20" s="2"/>
      <x:c r="E20" s="2"/>
      <x:c r="F20" s="2"/>
      <x:c r="G20" s="2"/>
      <x:c r="H20" s="2"/>
    </x:row>
    <x:row r="21" ht="18" customHeight="1">
      <x:c r="A21" s="22" t="str">
        <x:v>Кількість особистих дефектів за головним критерієм</x:v>
      </x:c>
      <x:c r="B21" s="2"/>
      <x:c r="C21" s="2"/>
      <x:c r="D21" s="2"/>
      <x:c r="E21" s="2"/>
      <x:c r="F21" s="2"/>
      <x:c r="G21" s="2"/>
      <x:c r="H21" s="2"/>
    </x:row>
    <x:row r="22" ht="31.5" customHeight="1">
      <x:c r="A22"/>
      <x:c r="B22"/>
      <x:c r="C22" s="2"/>
      <x:c r="D22" s="14" t="str">
        <x:v>Критерій</x:v>
      </x:c>
      <x:c r="E22" s="14" t="str">
        <x:v>Кількість</x:v>
      </x:c>
      <x:c r="F22" s="2"/>
      <x:c r="G22" s="2"/>
      <x:c r="H22" s="2"/>
    </x:row>
    <x:row r="23" ht="25.5" customHeight="1">
      <x:c r="A23"/>
      <x:c r="B23"/>
      <x:c r="C23" s="2"/>
      <x:c r="D23" s="7" t="str">
        <x:v>Однозначність</x:v>
      </x:c>
      <x:c r="E23" s="7" t="n">
        <x:f>COUNTIFS($C$8:$C$18,D23)</x:f>
        <x:v>1</x:v>
      </x:c>
      <x:c r="F23" s="2"/>
      <x:c r="G23" s="2"/>
      <x:c r="H23" s="2"/>
    </x:row>
    <x:row r="24" ht="25.5" customHeight="1">
      <x:c r="A24"/>
      <x:c r="B24"/>
      <x:c r="C24" s="2"/>
      <x:c r="D24" s="7" t="str">
        <x:v>Повнота</x:v>
      </x:c>
      <x:c r="E24" s="7" t="n">
        <x:f>COUNTIFS($C$8:$C$18,D24)</x:f>
        <x:v>1</x:v>
      </x:c>
      <x:c r="F24" s="2"/>
      <x:c r="G24" s="2"/>
      <x:c r="H24" s="2"/>
    </x:row>
    <x:row r="25" ht="25.5" customHeight="1">
      <x:c r="A25"/>
      <x:c r="B25"/>
      <x:c r="C25" s="2"/>
      <x:c r="D25" s="7" t="str">
        <x:v>Несуперечливість</x:v>
      </x:c>
      <x:c r="E25" s="7" t="n">
        <x:f>COUNTIFS($C$8:$C$18,D25)</x:f>
        <x:v>4</x:v>
      </x:c>
      <x:c r="F25" s="2"/>
      <x:c r="G25" s="2"/>
      <x:c r="H25" s="2"/>
    </x:row>
    <x:row r="26" ht="25.5" customHeight="1">
      <x:c r="A26"/>
      <x:c r="B26"/>
      <x:c r="C26" s="2"/>
      <x:c r="D26" s="7" t="str">
        <x:v>Простежуваність</x:v>
      </x:c>
      <x:c r="E26" s="7" t="n">
        <x:f>COUNTIFS($C$8:$C$18,D26)</x:f>
        <x:v>2</x:v>
      </x:c>
      <x:c r="F26" s="2"/>
      <x:c r="G26" s="2"/>
      <x:c r="H26" s="2"/>
    </x:row>
    <x:row r="27" ht="25.5" customHeight="1">
      <x:c r="A27"/>
      <x:c r="B27"/>
      <x:c r="C27" s="2"/>
      <x:c r="D27" s="7" t="str">
        <x:v>Здійсненність</x:v>
      </x:c>
      <x:c r="E27" s="7" t="n">
        <x:f>COUNTIFS($C$8:$C$18,D27)</x:f>
        <x:v>2</x:v>
      </x:c>
      <x:c r="F27" s="2"/>
      <x:c r="G27" s="2"/>
      <x:c r="H27" s="2"/>
    </x:row>
    <x:row r="28" ht="25.5" customHeight="1">
      <x:c r="A28"/>
      <x:c r="B28"/>
      <x:c r="C28" s="2"/>
      <x:c r="D28" s="7" t="str">
        <x:v>Тестопридатність</x:v>
      </x:c>
      <x:c r="E28" s="7" t="n">
        <x:f>COUNTIFS($C$8:$C$18,D28)</x:f>
        <x:v>1</x:v>
      </x:c>
      <x:c r="F28" s="2"/>
      <x:c r="G28" s="2"/>
      <x:c r="H28" s="2"/>
    </x:row>
    <x:row r="29" ht="18" customHeight="1">
      <x:c r="A29" s="2"/>
      <x:c r="B29" s="2"/>
      <x:c r="C29" s="2"/>
      <x:c r="D29" s="24" t="str">
        <x:v>Разом</x:v>
      </x:c>
      <x:c r="E29" s="24" t="n">
        <x:f>SUM(E23:E28)</x:f>
        <x:v>11</x:v>
      </x:c>
      <x:c r="F29" s="2"/>
      <x:c r="G29" s="2"/>
      <x:c r="H29" s="2"/>
    </x:row>
    <x:row r="30" ht="18" customHeight="1">
      <x:c r="A30" s="2"/>
      <x:c r="B30" s="2"/>
      <x:c r="C30" s="2"/>
      <x:c r="D30" s="2"/>
      <x:c r="E30" s="2"/>
      <x:c r="F30" s="2"/>
      <x:c r="G30" s="2"/>
      <x:c r="H30" s="2"/>
    </x:row>
    <x:row r="31" ht="18" customHeight="1">
      <x:c r="A31" s="2"/>
      <x:c r="B31" s="2"/>
      <x:c r="C31" s="2"/>
      <x:c r="D31" s="2"/>
      <x:c r="E31" s="2"/>
      <x:c r="F31" s="2"/>
      <x:c r="G31" s="2"/>
      <x:c r="H31" s="2"/>
    </x:row>
  </x:sheetData>
  <x:pageMargins left="0.7" right="0.7" top="0.75" bottom="0.75" header="0.3" footer="0.3"/>
  <x:tableParts count="1">
    <x:tablePart xmlns:r="http://schemas.openxmlformats.org/officeDocument/2006/relationships" r:id="R9a667373815c423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1.110000610351562" hidden="0" customWidth="1"/>
    <x:col min="2" max="2" width="10" hidden="0" customWidth="1"/>
    <x:col min="3" max="3" width="16.670000076293945" hidden="0" customWidth="1"/>
    <x:col min="4" max="4" width="16.670000076293945" hidden="0" customWidth="1"/>
    <x:col min="5" max="5" width="21.110000610351562" hidden="0" customWidth="1"/>
    <x:col min="6" max="6" width="21.110000610351562" hidden="0" customWidth="1"/>
    <x:col min="7" max="7" width="17.780000686645508" hidden="0" customWidth="1"/>
    <x:col min="8" max="8" width="20.559999465942383" hidden="0" customWidth="1"/>
    <x:col min="9" max="9" width="68.88999938964844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Покриття особистого аудиту</x:v>
      </x:c>
      <x:c r="B2" s="2"/>
      <x:c r="C2" s="2"/>
      <x:c r="D2" s="2"/>
      <x:c r="E2" s="2"/>
      <x:c r="F2" s="2"/>
      <x:c r="G2" s="2"/>
      <x:c r="H2" s="2"/>
      <x:c r="I2" s="2"/>
    </x:row>
    <x:row r="3" ht="18" customHeight="1">
      <x:c r="A3" s="2" t="str">
        <x:v>Н — додаткового дефекту за текстом не виявлено; це не перевірка відповідності реалізації.</x:v>
      </x:c>
      <x:c r="B3" s="2"/>
      <x:c r="C3" s="2"/>
      <x:c r="D3" s="2"/>
      <x:c r="E3" s="2"/>
      <x:c r="F3" s="2"/>
      <x:c r="G3" s="2"/>
      <x:c r="H3" s="2"/>
      <x:c r="I3" s="2"/>
    </x:row>
    <x:row r="4" ht="18" customHeight="1">
      <x:c r="A4" s="4" t="str">
        <x:v>VP-xx — посилання на рядок особистого аудиту. U-xx — уточнення, не включене до кількості дефектів.</x:v>
      </x:c>
      <x:c r="B4" s="4"/>
      <x:c r="C4" s="4"/>
      <x:c r="D4" s="4"/>
      <x:c r="E4" s="4"/>
      <x:c r="F4" s="4"/>
      <x:c r="G4" s="4"/>
      <x:c r="H4" s="4"/>
      <x:c r="I4" s="4"/>
    </x:row>
    <x:row r="5" ht="18" customHeight="1">
      <x:c r="A5" s="2" t="str">
        <x:v>Джерела та автор наведені на аркуші «Особистий аудит». Повторні посилання на той самий VP-xx не є новими дефектами.</x:v>
      </x:c>
      <x:c r="B5" s="2"/>
      <x:c r="C5" s="2"/>
      <x:c r="D5" s="2"/>
      <x:c r="E5" s="2"/>
      <x:c r="F5" s="2"/>
      <x:c r="G5" s="2"/>
      <x:c r="H5" s="2"/>
      <x:c r="I5" s="2"/>
    </x:row>
    <x:row r="6" ht="31.5" customHeight="1">
      <x:c r="A6" s="14" t="str">
        <x:v>Об’єкт / ID</x:v>
      </x:c>
      <x:c r="B6" s="14" t="str">
        <x:v>Сторінка SRS</x:v>
      </x:c>
      <x:c r="C6" s="14" t="str">
        <x:v>Однозначність</x:v>
      </x:c>
      <x:c r="D6" s="14" t="str">
        <x:v>Повнота</x:v>
      </x:c>
      <x:c r="E6" s="14" t="str">
        <x:v>Несуперечливість</x:v>
      </x:c>
      <x:c r="F6" s="14" t="str">
        <x:v>Простежуваність</x:v>
      </x:c>
      <x:c r="G6" s="14" t="str">
        <x:v>Здійсненність</x:v>
      </x:c>
      <x:c r="H6" s="14" t="str">
        <x:v>Тестопридатність</x:v>
      </x:c>
      <x:c r="I6" s="14" t="str">
        <x:v>Примітка</x:v>
      </x:c>
    </x:row>
    <x:row r="7" ht="48" customHeight="1">
      <x:c r="A7" s="8" t="str">
        <x:v>§2.1</x:v>
      </x:c>
      <x:c r="B7" s="17" t="n">
        <x:v>2</x:v>
      </x:c>
      <x:c r="C7" s="15" t="str">
        <x:v>Н</x:v>
      </x:c>
      <x:c r="D7" s="15" t="str">
        <x:v>Н</x:v>
      </x:c>
      <x:c r="E7" s="15" t="str">
        <x:v>VP-03 (зв'язок)</x:v>
      </x:c>
      <x:c r="F7" s="15" t="str">
        <x:v>Н</x:v>
      </x:c>
      <x:c r="G7" s="15" t="str">
        <x:v>Н</x:v>
      </x:c>
      <x:c r="H7" s="15" t="str">
        <x:v>Н</x:v>
      </x:c>
      <x:c r="I7" s="8" t="str">
        <x:v>Опис ролей використано під час зіставлення GUI-40 і F-120; самостійний додатковий дефект не зараховано.</x:v>
      </x:c>
    </x:row>
    <x:row r="8" ht="48" customHeight="1">
      <x:c r="A8" s="9" t="str">
        <x:v>§2.2</x:v>
      </x:c>
      <x:c r="B8" s="18" t="n">
        <x:v>3</x:v>
      </x:c>
      <x:c r="C8" s="16" t="str">
        <x:v>Н</x:v>
      </x:c>
      <x:c r="D8" s="16" t="str">
        <x:v>Н</x:v>
      </x:c>
      <x:c r="E8" s="16" t="str">
        <x:v>Н</x:v>
      </x:c>
      <x:c r="F8" s="16" t="str">
        <x:v>Н</x:v>
      </x:c>
      <x:c r="G8" s="16" t="str">
        <x:v>Н</x:v>
      </x:c>
      <x:c r="H8" s="16" t="str">
        <x:v>Н</x:v>
      </x:c>
      <x:c r="I8" s="9" t="str">
        <x:v>Браузери, розмір вікна, URL demo і тестові акаунти задані. Їхня актуальність у застосунку не перевірялася.</x:v>
      </x:c>
    </x:row>
    <x:row r="9" ht="48" customHeight="1">
      <x:c r="A9" s="8" t="str">
        <x:v>§2.3</x:v>
      </x:c>
      <x:c r="B9" s="17" t="n">
        <x:v>3</x:v>
      </x:c>
      <x:c r="C9" s="15" t="str">
        <x:v>Н</x:v>
      </x:c>
      <x:c r="D9" s="15" t="str">
        <x:v>U-02</x:v>
      </x:c>
      <x:c r="E9" s="15" t="str">
        <x:v>Н</x:v>
      </x:c>
      <x:c r="F9" s="15" t="str">
        <x:v>Н</x:v>
      </x:c>
      <x:c r="G9" s="15" t="str">
        <x:v>Н</x:v>
      </x:c>
      <x:c r="H9" s="15" t="str">
        <x:v>Н</x:v>
      </x:c>
      <x:c r="I9" s="8" t="str">
        <x:v>Обмеження demo і окремої бібліотеки зафіксовані; U-02 не включено до дефектів.</x:v>
      </x:c>
    </x:row>
    <x:row r="10" ht="48" customHeight="1">
      <x:c r="A10" s="9" t="str">
        <x:v>GUI-10</x:v>
      </x:c>
      <x:c r="B10" s="18" t="n">
        <x:v>5</x:v>
      </x:c>
      <x:c r="C10" s="16" t="str">
        <x:v>Н</x:v>
      </x:c>
      <x:c r="D10" s="16" t="str">
        <x:v>Н</x:v>
      </x:c>
      <x:c r="E10" s="16" t="str">
        <x:v>Н</x:v>
      </x:c>
      <x:c r="F10" s="16" t="str">
        <x:v>Н</x:v>
      </x:c>
      <x:c r="G10" s="16" t="str">
        <x:v>Н</x:v>
      </x:c>
      <x:c r="H10" s="16" t="str">
        <x:v>Н</x:v>
      </x:c>
      <x:c r="I10" s="9" t="str">
        <x:v>Додаткового дефекту за текстом не зафіксовано.</x:v>
      </x:c>
    </x:row>
    <x:row r="11" ht="48" customHeight="1">
      <x:c r="A11" s="8" t="str">
        <x:v>GUI-20</x:v>
      </x:c>
      <x:c r="B11" s="17" t="n">
        <x:v>5</x:v>
      </x:c>
      <x:c r="C11" s="15" t="str">
        <x:v>Н</x:v>
      </x:c>
      <x:c r="D11" s="15" t="str">
        <x:v>Н</x:v>
      </x:c>
      <x:c r="E11" s="15" t="str">
        <x:v>VP-01</x:v>
      </x:c>
      <x:c r="F11" s="15" t="str">
        <x:v>Н</x:v>
      </x:c>
      <x:c r="G11" s="15" t="str">
        <x:v>Н</x:v>
      </x:c>
      <x:c r="H11" s="15" t="str">
        <x:v>Н</x:v>
      </x:c>
      <x:c r="I11" s="8" t="str">
        <x:v>Зіставлено з F-40.</x:v>
      </x:c>
    </x:row>
    <x:row r="12" ht="48" customHeight="1">
      <x:c r="A12" s="9" t="str">
        <x:v>GUI-30</x:v>
      </x:c>
      <x:c r="B12" s="18" t="n">
        <x:v>5</x:v>
      </x:c>
      <x:c r="C12" s="16" t="str">
        <x:v>Н</x:v>
      </x:c>
      <x:c r="D12" s="16" t="str">
        <x:v>Н</x:v>
      </x:c>
      <x:c r="E12" s="16" t="str">
        <x:v>VP-02</x:v>
      </x:c>
      <x:c r="F12" s="16" t="str">
        <x:v>Н</x:v>
      </x:c>
      <x:c r="G12" s="16" t="str">
        <x:v>Н</x:v>
      </x:c>
      <x:c r="H12" s="16" t="str">
        <x:v>Н</x:v>
      </x:c>
      <x:c r="I12" s="9" t="str">
        <x:v>Зіставлено з BL-10, BL-20 і BL-40.</x:v>
      </x:c>
    </x:row>
    <x:row r="13" ht="48" customHeight="1">
      <x:c r="A13" s="8" t="str">
        <x:v>GUI-40</x:v>
      </x:c>
      <x:c r="B13" s="17" t="n">
        <x:v>5</x:v>
      </x:c>
      <x:c r="C13" s="15" t="str">
        <x:v>Н</x:v>
      </x:c>
      <x:c r="D13" s="15" t="str">
        <x:v>Н</x:v>
      </x:c>
      <x:c r="E13" s="15" t="str">
        <x:v>VP-03</x:v>
      </x:c>
      <x:c r="F13" s="15" t="str">
        <x:v>Н</x:v>
      </x:c>
      <x:c r="G13" s="15" t="str">
        <x:v>Н</x:v>
      </x:c>
      <x:c r="H13" s="15" t="str">
        <x:v>Н</x:v>
      </x:c>
      <x:c r="I13" s="8" t="str">
        <x:v>Зіставлено з F-120 і §2.1.</x:v>
      </x:c>
    </x:row>
    <x:row r="14" ht="48" customHeight="1">
      <x:c r="A14" s="9" t="str">
        <x:v>GUI-50</x:v>
      </x:c>
      <x:c r="B14" s="18" t="n">
        <x:v>5</x:v>
      </x:c>
      <x:c r="C14" s="16" t="str">
        <x:v>U-01</x:v>
      </x:c>
      <x:c r="D14" s="16" t="str">
        <x:v>Н</x:v>
      </x:c>
      <x:c r="E14" s="16" t="str">
        <x:v>Н</x:v>
      </x:c>
      <x:c r="F14" s="16" t="str">
        <x:v>Н</x:v>
      </x:c>
      <x:c r="G14" s="16" t="str">
        <x:v>Н</x:v>
      </x:c>
      <x:c r="H14" s="16" t="str">
        <x:v>Н</x:v>
      </x:c>
      <x:c r="I14" s="9" t="str">
        <x:v>Альтернативне розташування не оголошено дефектом без уточнення.</x:v>
      </x:c>
    </x:row>
    <x:row r="15" ht="48" customHeight="1">
      <x:c r="A15" s="8" t="str">
        <x:v>GUI-60 (вхід)</x:v>
      </x:c>
      <x:c r="B15" s="17" t="n">
        <x:v>5</x:v>
      </x:c>
      <x:c r="C15" s="15" t="str">
        <x:v>Н</x:v>
      </x:c>
      <x:c r="D15" s="15" t="str">
        <x:v>Н</x:v>
      </x:c>
      <x:c r="E15" s="15" t="str">
        <x:v>Н</x:v>
      </x:c>
      <x:c r="F15" s="15" t="str">
        <x:v>VP-04</x:v>
      </x:c>
      <x:c r="G15" s="15" t="str">
        <x:v>Н</x:v>
      </x:c>
      <x:c r="H15" s="15" t="str">
        <x:v>Н</x:v>
      </x:c>
      <x:c r="I15" s="8" t="str">
        <x:v>ID збігається з ID вимоги про реєстрацію; один дефект VP-04 на пару.</x:v>
      </x:c>
    </x:row>
    <x:row r="16" ht="48" customHeight="1">
      <x:c r="A16" s="9" t="str">
        <x:v>GUI-60 (реєстрація)</x:v>
      </x:c>
      <x:c r="B16" s="18" t="n">
        <x:v>5</x:v>
      </x:c>
      <x:c r="C16" s="16" t="str">
        <x:v>Н</x:v>
      </x:c>
      <x:c r="D16" s="16" t="str">
        <x:v>Н</x:v>
      </x:c>
      <x:c r="E16" s="16" t="str">
        <x:v>Н</x:v>
      </x:c>
      <x:c r="F16" s="16" t="str">
        <x:v>VP-04</x:v>
      </x:c>
      <x:c r="G16" s="16" t="str">
        <x:v>Н</x:v>
      </x:c>
      <x:c r="H16" s="16" t="str">
        <x:v>Н</x:v>
      </x:c>
      <x:c r="I16" s="9" t="str">
        <x:v>Пропонується вільний GUI-65; решта ID не змінюється.</x:v>
      </x:c>
    </x:row>
    <x:row r="17" ht="48" customHeight="1">
      <x:c r="A17" s="8" t="str">
        <x:v>GUI-70</x:v>
      </x:c>
      <x:c r="B17" s="17" t="n">
        <x:v>5</x:v>
      </x:c>
      <x:c r="C17" s="15" t="str">
        <x:v>Н</x:v>
      </x:c>
      <x:c r="D17" s="15" t="str">
        <x:v>Н</x:v>
      </x:c>
      <x:c r="E17" s="15" t="str">
        <x:v>Н</x:v>
      </x:c>
      <x:c r="F17" s="15" t="str">
        <x:v>Н</x:v>
      </x:c>
      <x:c r="G17" s="15" t="str">
        <x:v>Н</x:v>
      </x:c>
      <x:c r="H17" s="15" t="str">
        <x:v>Н</x:v>
      </x:c>
      <x:c r="I17" s="8" t="str">
        <x:v>Додаткового дефекту за текстом не зафіксовано.</x:v>
      </x:c>
    </x:row>
    <x:row r="18" ht="48" customHeight="1">
      <x:c r="A18" s="9" t="str">
        <x:v>GUI-80</x:v>
      </x:c>
      <x:c r="B18" s="18" t="n">
        <x:v>5</x:v>
      </x:c>
      <x:c r="C18" s="16" t="str">
        <x:v>Н</x:v>
      </x:c>
      <x:c r="D18" s="16" t="str">
        <x:v>Н</x:v>
      </x:c>
      <x:c r="E18" s="16" t="str">
        <x:v>Н</x:v>
      </x:c>
      <x:c r="F18" s="16" t="str">
        <x:v>Н</x:v>
      </x:c>
      <x:c r="G18" s="16" t="str">
        <x:v>VP-05</x:v>
      </x:c>
      <x:c r="H18" s="16" t="str">
        <x:v>Н</x:v>
      </x:c>
      <x:c r="I18" s="9" t="str">
        <x:v>Головний критерій — здійсненність універсальної мережевої гарантії.</x:v>
      </x:c>
    </x:row>
    <x:row r="19" ht="48" customHeight="1">
      <x:c r="A19" s="8" t="str">
        <x:v>GUI-90</x:v>
      </x:c>
      <x:c r="B19" s="17" t="n">
        <x:v>5</x:v>
      </x:c>
      <x:c r="C19" s="15" t="str">
        <x:v>Н</x:v>
      </x:c>
      <x:c r="D19" s="15" t="str">
        <x:v>Н</x:v>
      </x:c>
      <x:c r="E19" s="15" t="str">
        <x:v>Н</x:v>
      </x:c>
      <x:c r="F19" s="15" t="str">
        <x:v>Н</x:v>
      </x:c>
      <x:c r="G19" s="15" t="str">
        <x:v>Н</x:v>
      </x:c>
      <x:c r="H19" s="15" t="str">
        <x:v>Н</x:v>
      </x:c>
      <x:c r="I19" s="8" t="str">
        <x:v>Додаткового дефекту за текстом не зафіксовано.</x:v>
      </x:c>
    </x:row>
    <x:row r="20" ht="48" customHeight="1">
      <x:c r="A20" s="9" t="str">
        <x:v>GUI-100</x:v>
      </x:c>
      <x:c r="B20" s="18" t="n">
        <x:v>5</x:v>
      </x:c>
      <x:c r="C20" s="16" t="str">
        <x:v>Н</x:v>
      </x:c>
      <x:c r="D20" s="16" t="str">
        <x:v>Н</x:v>
      </x:c>
      <x:c r="E20" s="16" t="str">
        <x:v>Н</x:v>
      </x:c>
      <x:c r="F20" s="16" t="str">
        <x:v>Н</x:v>
      </x:c>
      <x:c r="G20" s="16" t="str">
        <x:v>Н</x:v>
      </x:c>
      <x:c r="H20" s="16" t="str">
        <x:v>VP-06</x:v>
      </x:c>
      <x:c r="I20" s="9" t="str">
        <x:v>Суб'єктивні характеристики без умов приймання.</x:v>
      </x:c>
    </x:row>
    <x:row r="21" ht="48" customHeight="1">
      <x:c r="A21" s="8" t="str">
        <x:v>BL-10</x:v>
      </x:c>
      <x:c r="B21" s="17" t="n">
        <x:v>6</x:v>
      </x:c>
      <x:c r="C21" s="15" t="str">
        <x:v>Н</x:v>
      </x:c>
      <x:c r="D21" s="15" t="str">
        <x:v>Н</x:v>
      </x:c>
      <x:c r="E21" s="15" t="str">
        <x:v>VP-02 (зв'язок)</x:v>
      </x:c>
      <x:c r="F21" s="15" t="str">
        <x:v>Н</x:v>
      </x:c>
      <x:c r="G21" s="15" t="str">
        <x:v>Н</x:v>
      </x:c>
      <x:c r="H21" s="15" t="str">
        <x:v>Н</x:v>
      </x:c>
      <x:c r="I21" s="8" t="str">
        <x:v>Використано як пов'язану вимогу для GUI-30; нового рядка дефекту немає.</x:v>
      </x:c>
    </x:row>
    <x:row r="22" ht="48" customHeight="1">
      <x:c r="A22" s="9" t="str">
        <x:v>BL-20</x:v>
      </x:c>
      <x:c r="B22" s="18" t="n">
        <x:v>6</x:v>
      </x:c>
      <x:c r="C22" s="16" t="str">
        <x:v>Н</x:v>
      </x:c>
      <x:c r="D22" s="16" t="str">
        <x:v>Н</x:v>
      </x:c>
      <x:c r="E22" s="16" t="str">
        <x:v>Н</x:v>
      </x:c>
      <x:c r="F22" s="16" t="str">
        <x:v>VP-07 (зв'язок)</x:v>
      </x:c>
      <x:c r="G22" s="16" t="str">
        <x:v>Н</x:v>
      </x:c>
      <x:c r="H22" s="16" t="str">
        <x:v>Н</x:v>
      </x:c>
      <x:c r="I22" s="9" t="str">
        <x:v>Канонічна вимога з обмеженням 99; дубль міститься у BL-30.</x:v>
      </x:c>
    </x:row>
    <x:row r="23" ht="48" customHeight="1">
      <x:c r="A23" s="8" t="str">
        <x:v>BL-30</x:v>
      </x:c>
      <x:c r="B23" s="17" t="n">
        <x:v>6</x:v>
      </x:c>
      <x:c r="C23" s="15" t="str">
        <x:v>Н</x:v>
      </x:c>
      <x:c r="D23" s="15" t="str">
        <x:v>Н</x:v>
      </x:c>
      <x:c r="E23" s="15" t="str">
        <x:v>Н</x:v>
      </x:c>
      <x:c r="F23" s="15" t="str">
        <x:v>VP-07</x:v>
      </x:c>
      <x:c r="G23" s="15" t="str">
        <x:v>Н</x:v>
      </x:c>
      <x:c r="H23" s="15" t="str">
        <x:v>Н</x:v>
      </x:c>
      <x:c r="I23" s="8" t="str">
        <x:v>Дублювання BL-20.</x:v>
      </x:c>
    </x:row>
    <x:row r="24" ht="48" customHeight="1">
      <x:c r="A24" s="9" t="str">
        <x:v>BL-40</x:v>
      </x:c>
      <x:c r="B24" s="18" t="n">
        <x:v>6</x:v>
      </x:c>
      <x:c r="C24" s="16" t="str">
        <x:v>Н</x:v>
      </x:c>
      <x:c r="D24" s="16" t="str">
        <x:v>Н</x:v>
      </x:c>
      <x:c r="E24" s="16" t="str">
        <x:v>VP-02 (зв'язок)</x:v>
      </x:c>
      <x:c r="F24" s="16" t="str">
        <x:v>Н</x:v>
      </x:c>
      <x:c r="G24" s="16" t="str">
        <x:v>Н</x:v>
      </x:c>
      <x:c r="H24" s="16" t="str">
        <x:v>Н</x:v>
      </x:c>
      <x:c r="I24" s="9" t="str">
        <x:v>Використано як пов'язану вимогу для GUI-30.</x:v>
      </x:c>
    </x:row>
    <x:row r="25" ht="48" customHeight="1">
      <x:c r="A25" s="8" t="str">
        <x:v>BL-50</x:v>
      </x:c>
      <x:c r="B25" s="17" t="n">
        <x:v>6</x:v>
      </x:c>
      <x:c r="C25" s="15" t="str">
        <x:v>VP-08</x:v>
      </x:c>
      <x:c r="D25" s="15" t="str">
        <x:v>Н</x:v>
      </x:c>
      <x:c r="E25" s="15" t="str">
        <x:v>Н</x:v>
      </x:c>
      <x:c r="F25" s="15" t="str">
        <x:v>Н</x:v>
      </x:c>
      <x:c r="G25" s="15" t="str">
        <x:v>Н</x:v>
      </x:c>
      <x:c r="H25" s="15" t="str">
        <x:v>Н</x:v>
      </x:c>
      <x:c r="I25" s="8" t="str">
        <x:v>Запропоновано неперетинні інтервали знижок.</x:v>
      </x:c>
    </x:row>
    <x:row r="26" ht="48" customHeight="1">
      <x:c r="A26" s="9" t="str">
        <x:v>BL-60</x:v>
      </x:c>
      <x:c r="B26" s="18" t="n">
        <x:v>6</x:v>
      </x:c>
      <x:c r="C26" s="16" t="str">
        <x:v>Н</x:v>
      </x:c>
      <x:c r="D26" s="16" t="str">
        <x:v>Н</x:v>
      </x:c>
      <x:c r="E26" s="16" t="str">
        <x:v>VP-10</x:v>
      </x:c>
      <x:c r="F26" s="16" t="str">
        <x:v>Н</x:v>
      </x:c>
      <x:c r="G26" s="16" t="str">
        <x:v>Н</x:v>
      </x:c>
      <x:c r="H26" s="16" t="str">
        <x:v>Н</x:v>
      </x:c>
      <x:c r="I26" s="9" t="str">
        <x:v>Поріг доставки зіставлено з F-110.</x:v>
      </x:c>
    </x:row>
    <x:row r="27" ht="48" customHeight="1">
      <x:c r="A27" s="8" t="str">
        <x:v>BL-70</x:v>
      </x:c>
      <x:c r="B27" s="17" t="n">
        <x:v>6</x:v>
      </x:c>
      <x:c r="C27" s="15" t="str">
        <x:v>Н</x:v>
      </x:c>
      <x:c r="D27" s="15" t="str">
        <x:v>VP-09</x:v>
      </x:c>
      <x:c r="E27" s="15" t="str">
        <x:v>Н</x:v>
      </x:c>
      <x:c r="F27" s="15" t="str">
        <x:v>Н</x:v>
      </x:c>
      <x:c r="G27" s="15" t="str">
        <x:v>Н</x:v>
      </x:c>
      <x:c r="H27" s="15" t="str">
        <x:v>Н</x:v>
      </x:c>
      <x:c r="I27" s="8" t="str">
        <x:v>Не визначено контракт для недопустимих аргументів.</x:v>
      </x:c>
    </x:row>
    <x:row r="28" ht="48" customHeight="1">
      <x:c r="A28" s="9" t="str">
        <x:v>BL-80</x:v>
      </x:c>
      <x:c r="B28" s="18" t="n">
        <x:v>6</x:v>
      </x:c>
      <x:c r="C28" s="16" t="str">
        <x:v>Н</x:v>
      </x:c>
      <x:c r="D28" s="16" t="str">
        <x:v>Н</x:v>
      </x:c>
      <x:c r="E28" s="16" t="str">
        <x:v>Н</x:v>
      </x:c>
      <x:c r="F28" s="16" t="str">
        <x:v>Н</x:v>
      </x:c>
      <x:c r="G28" s="16" t="str">
        <x:v>VP-11</x:v>
      </x:c>
      <x:c r="H28" s="16" t="str">
        <x:v>Н</x:v>
      </x:c>
      <x:c r="I28" s="9" t="str">
        <x:v>Нездійсненна глобальна перевірка використання промокоду.</x:v>
      </x:c>
    </x:row>
    <x:row r="29" ht="18" customHeight="1">
      <x:c r="A29" s="2"/>
      <x:c r="B29" s="2"/>
      <x:c r="C29" s="2"/>
      <x:c r="D29" s="2"/>
      <x:c r="E29" s="2"/>
      <x:c r="F29" s="2"/>
      <x:c r="G29" s="2"/>
      <x:c r="H29" s="2"/>
      <x:c r="I29" s="2"/>
    </x:row>
  </x:sheetData>
  <x:conditionalFormatting sqref="C7:H28">
    <x:cfRule type="containsText" dxfId="0" priority="1" operator="containsText" text="VP-"/>
    <x:cfRule type="containsText" dxfId="1" priority="2" operator="containsText" text="U-"/>
  </x:conditionalFormatting>
  <x:pageMargins left="0.7" right="0.7" top="0.75" bottom="0.75" header="0.3" footer="0.3"/>
  <x:tableParts count="1">
    <x:tablePart xmlns:r="http://schemas.openxmlformats.org/officeDocument/2006/relationships" r:id="Rb46ed646eacd4e68"/>
  </x:tableParts>
</x:worksheet>
</file>